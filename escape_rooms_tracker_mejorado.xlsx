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<sst xmlns="http://schemas.openxmlformats.org/spreadsheetml/2006/main" count="240" uniqueCount="170">
  <si>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</si>
  <si>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</si>
  <si>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</si>
  <si>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</si>
  <si>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</si>
  <si>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</si>
  <si>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</si>
  <si>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</si>
  <si>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</si>
  <si>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</si>
  <si>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</si>
  <si>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</si>
  <si>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</si>
  <si>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</si>
  <si>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</si>
  <si>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</si>
  <si>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</si>
  <si>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</si>
  <si>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</si>
  <si>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</si>
  <si>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</si>
  <si>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</si>
  <si>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</si>
  <si>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</si>
  <si>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</si>
  <si>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</si>
  <si>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</si>
  <si>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</si>
  <si>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</si>
  <si>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</si>
  <si>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</si>
  <si>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</si>
  <si>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</si>
  <si>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</si>
  <si>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</si>
  <si>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</si>
  <si>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</si>
  <si>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</si>
  <si>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</si>
  <si>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</si>
  <si>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</si>
  <si>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</si>
  <si>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</si>
  <si>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</si>
  <si>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</si>
  <si>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</si>
  <si>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</si>
  <si>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</si>
  <si>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</si>
  <si>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</si>
  <si>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</si>
  <si>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</si>
  <si>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</si>
  <si>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</si>
  <si>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</si>
  <si>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</si>
  <si>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</si>
  <si>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</si>
  <si>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</si>
  <si>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</si>
  <si>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</si>
  <si>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</si>
  <si>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</si>
  <si>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</si>
  <si>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</si>
  <si>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</si>
  <si>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</si>
  <si>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</si>
  <si>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</si>
  <si>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</si>
  <si>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</si>
  <si>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</si>
  <si>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</si>
  <si>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</si>
  <si>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</si>
  <si>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</si>
  <si>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</si>
  <si>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</si>
  <si>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</si>
  <si>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</si>
  <si>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</si>
  <si>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</si>
  <si>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</si>
  <si>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</si>
  <si>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</si>
  <si>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</si>
  <si>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</si>
  <si>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</si>
  <si>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</si>
  <si>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</si>
  <si>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</si>
  <si>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</si>
  <si>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</si>
  <si>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</si>
  <si>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</si>
  <si>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</si>
  <si>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</si>
  <si>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</si>
  <si>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</si>
  <si>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</si>
  <si>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</si>
  <si>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</si>
  <si>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</si>
  <si>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</si>
  <si>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</si>
  <si>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</si>
  <si>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</si>
  <si>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</si>
  <si>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</si>
  <si>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</si>
  <si>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</si>
  <si>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</si>
  <si>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</si>
  <si>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</si>
  <si>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</si>
  <si>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</si>
  <si>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</si>
  <si>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</si>
  <si>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</si>
  <si>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</si>
  <si>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</si>
  <si>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</si>
  <si>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</si>
  <si>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</si>
  <si>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</si>
  <si>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</si>
  <si>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</si>
  <si>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</si>
  <si>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</si>
  <si>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</si>
  <si>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</si>
  <si>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</si>
  <si>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</si>
  <si>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</si>
  <si>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</si>
  <si>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</si>
  <si>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</si>
  <si>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</si>
  <si>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</si>
  <si>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</si>
  <si>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</si>
  <si>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r>
      <rPr>
        <rFont val="Calibri, sans-serif"/>
        <color rgb="FF1155CC"/>
        <sz val="11.0"/>
        <u/>
      </rPr>
      <t>roomwhitechapel.com</t>
    </r>
  </si>
  <si>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</si>
  <si>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</si>
  <si>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</si>
  <si>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r>
      <rPr>
        <rFont val="Calibri, sans-serif"/>
        <color rgb="FF1155CC"/>
        <sz val="11.0"/>
        <u/>
      </rPr>
      <t>goldenpop.es/catacumbas/</t>
    </r>
  </si>
  <si>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</si>
  <si>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</si>
  <si>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</si>
  <si>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</si>
  <si>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Terror</t>
  </si>
  <si>
    <r>
      <rPr>
        <rFont val="Calibri, sans-serif"/>
        <color rgb="FF1155CC"/>
        <sz val="11.0"/>
        <u/>
      </rPr>
      <t>terrorstories.com</t>
    </r>
  </si>
  <si>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</si>
  <si>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</si>
  <si>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</si>
  <si>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</si>
  <si>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</si>
  <si>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r>
      <rPr>
        <rFont val="Calibri, sans-serif"/>
        <color rgb="FF1155CC"/>
        <sz val="11.0"/>
        <u/>
      </rPr>
      <t>kadabraescape.com</t>
    </r>
  </si>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</sst>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18</v>
      </c>
    </row>
    <row r="3">
      <c r="A3" s="1" t="s">
        <v>20</v>
      </c>
      <c r="B3" s="1" t="s">
        <v>21</v>
      </c>
      <c r="C3" s="1" t="s">
        <v>22</v>
      </c>
      <c r="D3" s="1" t="s">
        <v>23</v>
      </c>
      <c r="E3" s="1" t="s">
        <v>24</v>
      </c>
      <c r="F3" s="3">
        <v>90.0</v>
      </c>
      <c r="G3" s="1" t="s">
        <v>25</v>
      </c>
      <c r="H3" s="4">
        <v>46090.0</v>
      </c>
      <c r="I3" s="6" t="s">
        <v>26</v>
      </c>
      <c r="J3" s="1">
        <v>6.0</v>
      </c>
      <c r="K3" s="1" t="s">
        <v>27</v>
      </c>
      <c r="L3" s="2" t="s">
        <v>26</v>
      </c>
    </row>
    <row r="4">
      <c r="A4" s="1" t="s">
        <v>28</v>
      </c>
      <c r="B4" s="1" t="s">
        <v>29</v>
      </c>
      <c r="C4" s="1" t="s">
        <v>30</v>
      </c>
      <c r="D4" s="1" t="s">
        <v>31</v>
      </c>
      <c r="E4" s="1" t="s">
        <v>32</v>
      </c>
      <c r="F4" s="3">
        <v>70.0</v>
      </c>
      <c r="G4" s="1" t="s">
        <v>25</v>
      </c>
      <c r="H4" s="4">
        <v>46273.0</v>
      </c>
      <c r="I4" s="6" t="s">
        <v>33</v>
      </c>
      <c r="J4" s="1">
        <v>6.0</v>
      </c>
      <c r="K4" s="1" t="s">
        <v>34</v>
      </c>
      <c r="L4" s="2" t="s">
        <v>33</v>
      </c>
    </row>
    <row r="5">
      <c r="A5" s="1" t="s">
        <v>35</v>
      </c>
      <c r="B5" s="1" t="s">
        <v>36</v>
      </c>
      <c r="C5" s="1" t="s">
        <v>37</v>
      </c>
      <c r="D5" s="1" t="s">
        <v>38</v>
      </c>
      <c r="E5" s="1" t="s">
        <v>39</v>
      </c>
      <c r="F5" s="3">
        <v>70.0</v>
      </c>
      <c r="G5" s="1" t="s">
        <v>17</v>
      </c>
      <c r="H5" s="4">
        <v>46089.0</v>
      </c>
      <c r="I5" s="6" t="s">
        <v>40</v>
      </c>
      <c r="J5" s="1">
        <v>7.0</v>
      </c>
      <c r="K5" s="1" t="s">
        <v>41</v>
      </c>
      <c r="L5" s="2" t="s">
        <v>40</v>
      </c>
    </row>
    <row r="6">
      <c r="A6" s="1" t="s">
        <v>42</v>
      </c>
      <c r="B6" s="1" t="s">
        <v>21</v>
      </c>
      <c r="C6" s="1" t="s">
        <v>30</v>
      </c>
      <c r="D6" s="1" t="s">
        <v>43</v>
      </c>
      <c r="E6" s="1" t="s">
        <v>16</v>
      </c>
      <c r="F6" s="3">
        <v>90.0</v>
      </c>
      <c r="G6" s="1" t="s">
        <v>25</v>
      </c>
      <c r="H6" s="3" t="s">
        <v>44</v>
      </c>
      <c r="I6" s="5" t="s">
        <v>45</v>
      </c>
      <c r="J6" s="1">
        <v>7.0</v>
      </c>
      <c r="K6" s="1" t="s">
        <v>46</v>
      </c>
      <c r="L6" s="2" t="s">
        <v>47</v>
      </c>
    </row>
    <row r="7">
      <c r="A7" s="1" t="s">
        <v>48</v>
      </c>
      <c r="B7" s="1" t="s">
        <v>49</v>
      </c>
      <c r="C7" s="1" t="s">
        <v>30</v>
      </c>
      <c r="D7" s="1" t="s">
        <v>50</v>
      </c>
      <c r="E7" s="1" t="s">
        <v>51</v>
      </c>
      <c r="F7" s="3">
        <v>60.0</v>
      </c>
      <c r="G7" s="1" t="s">
        <v>17</v>
      </c>
      <c r="H7" s="3">
        <v>7.0</v>
      </c>
      <c r="I7" s="6" t="s">
        <v>47</v>
      </c>
      <c r="J7" s="1">
        <v>8.0</v>
      </c>
      <c r="K7" s="1" t="s">
        <v>52</v>
      </c>
    </row>
    <row r="8">
      <c r="A8" s="1" t="s">
        <v>53</v>
      </c>
      <c r="B8" s="1" t="s">
        <v>54</v>
      </c>
      <c r="C8" s="1" t="s">
        <v>55</v>
      </c>
      <c r="D8" s="1" t="s">
        <v>56</v>
      </c>
      <c r="E8" s="1" t="s">
        <v>57</v>
      </c>
      <c r="F8" s="3">
        <v>90.0</v>
      </c>
      <c r="G8" s="1" t="s">
        <v>58</v>
      </c>
      <c r="H8" s="3">
        <v>8.0</v>
      </c>
      <c r="I8" s="6" t="s">
        <v>59</v>
      </c>
      <c r="J8" s="1">
        <v>10.0</v>
      </c>
      <c r="K8" s="1" t="s">
        <v>60</v>
      </c>
    </row>
    <row r="9">
      <c r="A9" s="1" t="s">
        <v>61</v>
      </c>
      <c r="B9" s="1" t="s">
        <v>62</v>
      </c>
      <c r="C9" s="1" t="s">
        <v>30</v>
      </c>
      <c r="D9" s="1" t="s">
        <v>63</v>
      </c>
      <c r="E9" s="1" t="s">
        <v>16</v>
      </c>
      <c r="F9" s="3">
        <v>75.0</v>
      </c>
      <c r="G9" s="1" t="s">
        <v>25</v>
      </c>
      <c r="H9" s="4">
        <v>46242.0</v>
      </c>
      <c r="I9" s="6" t="s">
        <v>64</v>
      </c>
      <c r="J9" s="1">
        <v>7.0</v>
      </c>
      <c r="K9" s="1" t="s">
        <v>65</v>
      </c>
    </row>
    <row r="10">
      <c r="A10" s="1" t="s">
        <v>66</v>
      </c>
      <c r="B10" s="1" t="s">
        <v>67</v>
      </c>
      <c r="C10" s="1" t="s">
        <v>55</v>
      </c>
      <c r="D10" s="1" t="s">
        <v>68</v>
      </c>
      <c r="E10" s="1" t="s">
        <v>69</v>
      </c>
      <c r="F10" s="3">
        <v>90.0</v>
      </c>
      <c r="G10" s="1" t="s">
        <v>58</v>
      </c>
      <c r="H10" s="4">
        <v>46150.0</v>
      </c>
      <c r="I10" s="6" t="s">
        <v>70</v>
      </c>
      <c r="J10" s="1">
        <v>6.0</v>
      </c>
      <c r="K10" s="1" t="s">
        <v>71</v>
      </c>
    </row>
    <row r="11">
      <c r="A11" s="7" t="s">
        <v>72</v>
      </c>
      <c r="B11" s="1" t="s">
        <v>21</v>
      </c>
      <c r="C11" s="1" t="s">
        <v>30</v>
      </c>
      <c r="D11" s="1" t="s">
        <v>73</v>
      </c>
      <c r="E11" s="1" t="s">
        <v>39</v>
      </c>
      <c r="F11" s="3">
        <v>60.0</v>
      </c>
      <c r="G11" s="1" t="s">
        <v>17</v>
      </c>
      <c r="H11" s="4">
        <v>46149.0</v>
      </c>
      <c r="I11" s="6" t="s">
        <v>74</v>
      </c>
      <c r="J11" s="1">
        <v>10.0</v>
      </c>
      <c r="K11" s="1" t="s">
        <v>75</v>
      </c>
    </row>
    <row r="12">
      <c r="A12" s="1" t="s">
        <v>76</v>
      </c>
      <c r="B12" s="1" t="s">
        <v>77</v>
      </c>
      <c r="C12" s="1" t="s">
        <v>30</v>
      </c>
      <c r="D12" s="1" t="s">
        <v>78</v>
      </c>
      <c r="E12" s="1" t="s">
        <v>39</v>
      </c>
      <c r="F12" s="3">
        <v>75.0</v>
      </c>
      <c r="G12" s="1" t="s">
        <v>17</v>
      </c>
      <c r="H12" s="4">
        <v>46061.0</v>
      </c>
      <c r="I12" s="6" t="s">
        <v>79</v>
      </c>
      <c r="J12" s="1">
        <v>12.0</v>
      </c>
      <c r="K12" s="1" t="s">
        <v>80</v>
      </c>
    </row>
    <row r="13">
      <c r="A13" s="1" t="s">
        <v>81</v>
      </c>
      <c r="B13" s="1" t="s">
        <v>82</v>
      </c>
      <c r="C13" s="1" t="s">
        <v>83</v>
      </c>
      <c r="D13" s="1" t="s">
        <v>84</v>
      </c>
      <c r="E13" s="1" t="s">
        <v>85</v>
      </c>
      <c r="F13" s="3">
        <v>80.0</v>
      </c>
      <c r="G13" s="1" t="s">
        <v>25</v>
      </c>
      <c r="H13" s="4">
        <v>46090.0</v>
      </c>
      <c r="I13" s="8" t="s">
        <v>86</v>
      </c>
      <c r="J13" s="1">
        <v>7.0</v>
      </c>
      <c r="K13" s="1" t="s">
        <v>87</v>
      </c>
    </row>
    <row r="14">
      <c r="A14" s="2" t="s">
        <v>88</v>
      </c>
      <c r="B14" s="1" t="s">
        <v>21</v>
      </c>
      <c r="C14" s="1" t="s">
        <v>30</v>
      </c>
      <c r="D14" s="1" t="s">
        <v>89</v>
      </c>
      <c r="E14" s="1" t="s">
        <v>90</v>
      </c>
      <c r="F14" s="3">
        <v>90.0</v>
      </c>
      <c r="G14" s="1" t="s">
        <v>17</v>
      </c>
      <c r="H14" s="3">
        <v>7.0</v>
      </c>
      <c r="I14" s="6" t="s">
        <v>91</v>
      </c>
      <c r="J14" s="2">
        <v>6.0</v>
      </c>
      <c r="K14" s="1" t="s">
        <v>92</v>
      </c>
    </row>
    <row r="15">
      <c r="A15" s="1" t="s">
        <v>93</v>
      </c>
      <c r="B15" s="1" t="s">
        <v>21</v>
      </c>
      <c r="C15" s="1" t="s">
        <v>22</v>
      </c>
      <c r="D15" s="1" t="s">
        <v>94</v>
      </c>
      <c r="E15" s="1" t="s">
        <v>95</v>
      </c>
      <c r="F15" s="3">
        <v>90.0</v>
      </c>
      <c r="G15" s="1" t="s">
        <v>17</v>
      </c>
      <c r="H15" s="4">
        <v>46150.0</v>
      </c>
      <c r="I15" s="6" t="s">
        <v>96</v>
      </c>
      <c r="J15" s="1">
        <v>10.0</v>
      </c>
      <c r="K15" s="1" t="s">
        <v>97</v>
      </c>
    </row>
    <row r="16">
      <c r="A16" s="1" t="s">
        <v>98</v>
      </c>
      <c r="B16" s="1" t="s">
        <v>99</v>
      </c>
      <c r="C16" s="1" t="s">
        <v>30</v>
      </c>
      <c r="D16" s="1" t="s">
        <v>100</v>
      </c>
      <c r="E16" s="1" t="s">
        <v>101</v>
      </c>
      <c r="F16" s="3">
        <v>120.0</v>
      </c>
      <c r="G16" s="1" t="s">
        <v>58</v>
      </c>
      <c r="H16" s="4">
        <v>46150.0</v>
      </c>
      <c r="I16" s="6" t="s">
        <v>102</v>
      </c>
      <c r="J16" s="1">
        <v>8.0</v>
      </c>
      <c r="K16" s="1" t="s">
        <v>103</v>
      </c>
    </row>
    <row r="17">
      <c r="A17" s="9" t="s">
        <v>104</v>
      </c>
      <c r="B17" s="10" t="s">
        <v>105</v>
      </c>
      <c r="C17" s="10" t="s">
        <v>106</v>
      </c>
      <c r="D17" s="10" t="s">
        <v>107</v>
      </c>
      <c r="E17" s="10" t="s">
        <v>108</v>
      </c>
      <c r="F17" s="10">
        <v>120.0</v>
      </c>
      <c r="G17" s="10" t="s">
        <v>25</v>
      </c>
      <c r="H17" s="11">
        <v>46243.0</v>
      </c>
      <c r="I17" s="12" t="s">
        <v>109</v>
      </c>
      <c r="J17" s="2">
        <v>6.0</v>
      </c>
      <c r="K17" s="2" t="s">
        <v>110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14.13"/>
    <col customWidth="1" min="12" max="15" width="11.75"/>
    <col customWidth="1" min="16" max="16" width="166.0"/>
  </cols>
  <sheetData>
    <row r="1">
      <c r="A1" s="13" t="s">
        <v>0</v>
      </c>
      <c r="B1" s="13" t="s">
        <v>1</v>
      </c>
      <c r="C1" s="13" t="s">
        <v>2</v>
      </c>
      <c r="D1" s="13" t="s">
        <v>3</v>
      </c>
      <c r="E1" s="13" t="s">
        <v>4</v>
      </c>
      <c r="F1" s="13" t="s">
        <v>111</v>
      </c>
      <c r="G1" s="13" t="s">
        <v>6</v>
      </c>
      <c r="H1" s="13" t="s">
        <v>112</v>
      </c>
      <c r="I1" s="13" t="s">
        <v>8</v>
      </c>
      <c r="J1" s="13" t="s">
        <v>113</v>
      </c>
      <c r="K1" s="13" t="s">
        <v>114</v>
      </c>
      <c r="L1" s="13" t="s">
        <v>115</v>
      </c>
      <c r="M1" s="13" t="s">
        <v>116</v>
      </c>
      <c r="N1" s="13" t="s">
        <v>117</v>
      </c>
      <c r="O1" s="13" t="s">
        <v>118</v>
      </c>
      <c r="P1" s="13" t="s">
        <v>10</v>
      </c>
    </row>
    <row r="2">
      <c r="A2" s="1" t="s">
        <v>119</v>
      </c>
      <c r="B2" s="1" t="s">
        <v>120</v>
      </c>
      <c r="C2" s="1" t="s">
        <v>30</v>
      </c>
      <c r="D2" s="1" t="s">
        <v>121</v>
      </c>
      <c r="E2" s="1" t="s">
        <v>39</v>
      </c>
      <c r="F2" s="3">
        <v>70.0</v>
      </c>
      <c r="G2" s="1" t="s">
        <v>17</v>
      </c>
      <c r="H2" s="3">
        <v>9.0</v>
      </c>
      <c r="I2" s="6" t="s">
        <v>122</v>
      </c>
      <c r="J2" s="14">
        <f t="shared" ref="J2:J3" si="1">AVERAGE(L2:O2)</f>
        <v>11544.75</v>
      </c>
      <c r="K2" s="15">
        <f t="shared" ref="K2:K11" si="2">RANK(J2, $J$2:$J$22)</f>
        <v>1</v>
      </c>
      <c r="L2" s="16">
        <v>46151.0</v>
      </c>
      <c r="M2" s="2">
        <v>10.0</v>
      </c>
      <c r="N2" s="2">
        <v>9.0</v>
      </c>
      <c r="O2" s="2">
        <v>9.0</v>
      </c>
      <c r="P2" s="2" t="s">
        <v>123</v>
      </c>
    </row>
    <row r="3">
      <c r="A3" s="1" t="s">
        <v>124</v>
      </c>
      <c r="B3" s="1" t="s">
        <v>125</v>
      </c>
      <c r="C3" s="1" t="s">
        <v>30</v>
      </c>
      <c r="D3" s="1" t="s">
        <v>126</v>
      </c>
      <c r="E3" s="1" t="s">
        <v>39</v>
      </c>
      <c r="F3" s="3">
        <v>60.0</v>
      </c>
      <c r="G3" s="1" t="s">
        <v>17</v>
      </c>
      <c r="H3" s="4">
        <v>46150.0</v>
      </c>
      <c r="I3" s="6" t="s">
        <v>127</v>
      </c>
      <c r="J3" s="15">
        <f t="shared" si="1"/>
        <v>8.5</v>
      </c>
      <c r="K3" s="15">
        <f t="shared" si="2"/>
        <v>4</v>
      </c>
      <c r="L3" s="2">
        <v>9.0</v>
      </c>
      <c r="M3" s="2">
        <v>9.0</v>
      </c>
      <c r="N3" s="2">
        <v>9.0</v>
      </c>
      <c r="O3" s="2">
        <v>7.0</v>
      </c>
      <c r="P3" s="2" t="s">
        <v>128</v>
      </c>
    </row>
    <row r="4">
      <c r="A4" s="1" t="s">
        <v>129</v>
      </c>
      <c r="B4" s="1" t="s">
        <v>21</v>
      </c>
      <c r="C4" s="1" t="s">
        <v>30</v>
      </c>
      <c r="D4" s="1" t="s">
        <v>31</v>
      </c>
      <c r="E4" s="1" t="s">
        <v>57</v>
      </c>
      <c r="F4" s="3">
        <v>75.0</v>
      </c>
      <c r="G4" s="1" t="s">
        <v>25</v>
      </c>
      <c r="H4" s="3">
        <v>9.0</v>
      </c>
      <c r="I4" s="6" t="s">
        <v>130</v>
      </c>
      <c r="J4" s="1">
        <v>0.0</v>
      </c>
      <c r="K4" s="15">
        <f t="shared" si="2"/>
        <v>10</v>
      </c>
    </row>
    <row r="5">
      <c r="A5" s="1" t="s">
        <v>131</v>
      </c>
      <c r="B5" s="1" t="s">
        <v>132</v>
      </c>
      <c r="C5" s="1" t="s">
        <v>30</v>
      </c>
      <c r="D5" s="1" t="s">
        <v>133</v>
      </c>
      <c r="E5" s="1" t="s">
        <v>134</v>
      </c>
      <c r="F5" s="3">
        <v>60.0</v>
      </c>
      <c r="G5" s="1" t="s">
        <v>17</v>
      </c>
      <c r="H5" s="3">
        <v>8.0</v>
      </c>
      <c r="I5" s="6" t="s">
        <v>135</v>
      </c>
      <c r="J5" s="15">
        <f t="shared" ref="J5:J11" si="3">AVERAGE(L5:O5)</f>
        <v>9.25</v>
      </c>
      <c r="K5" s="15">
        <f t="shared" si="2"/>
        <v>2</v>
      </c>
      <c r="L5" s="2">
        <v>9.0</v>
      </c>
      <c r="M5" s="2">
        <v>10.0</v>
      </c>
      <c r="N5" s="2">
        <v>8.0</v>
      </c>
      <c r="O5" s="2">
        <v>10.0</v>
      </c>
      <c r="P5" s="2" t="s">
        <v>136</v>
      </c>
    </row>
    <row r="6">
      <c r="A6" s="1" t="s">
        <v>137</v>
      </c>
      <c r="B6" s="1" t="s">
        <v>138</v>
      </c>
      <c r="C6" s="1" t="s">
        <v>30</v>
      </c>
      <c r="D6" s="1" t="s">
        <v>139</v>
      </c>
      <c r="E6" s="1" t="s">
        <v>140</v>
      </c>
      <c r="F6" s="3">
        <v>90.0</v>
      </c>
      <c r="G6" s="1" t="s">
        <v>17</v>
      </c>
      <c r="H6" s="3">
        <v>9.0</v>
      </c>
      <c r="I6" s="8" t="s">
        <v>141</v>
      </c>
      <c r="J6" s="15">
        <f t="shared" si="3"/>
        <v>8.75</v>
      </c>
      <c r="K6" s="15">
        <f t="shared" si="2"/>
        <v>3</v>
      </c>
      <c r="L6" s="2">
        <v>9.0</v>
      </c>
      <c r="M6" s="2">
        <v>8.0</v>
      </c>
      <c r="N6" s="2">
        <v>9.0</v>
      </c>
      <c r="O6" s="2">
        <v>9.0</v>
      </c>
      <c r="P6" s="2" t="s">
        <v>142</v>
      </c>
    </row>
    <row r="7">
      <c r="A7" s="1" t="s">
        <v>143</v>
      </c>
      <c r="B7" s="1" t="s">
        <v>132</v>
      </c>
      <c r="C7" s="1" t="s">
        <v>30</v>
      </c>
      <c r="D7" s="1" t="s">
        <v>144</v>
      </c>
      <c r="E7" s="1" t="s">
        <v>39</v>
      </c>
      <c r="F7" s="3">
        <v>90.0</v>
      </c>
      <c r="G7" s="1" t="s">
        <v>17</v>
      </c>
      <c r="H7" s="4">
        <v>46149.0</v>
      </c>
      <c r="I7" s="8" t="s">
        <v>145</v>
      </c>
      <c r="J7" s="15">
        <f t="shared" si="3"/>
        <v>8.25</v>
      </c>
      <c r="K7" s="15">
        <f t="shared" si="2"/>
        <v>6</v>
      </c>
      <c r="L7" s="2">
        <v>8.0</v>
      </c>
      <c r="M7" s="2">
        <v>9.0</v>
      </c>
      <c r="N7" s="2">
        <v>8.0</v>
      </c>
      <c r="O7" s="2">
        <v>8.0</v>
      </c>
      <c r="P7" s="2" t="s">
        <v>146</v>
      </c>
    </row>
    <row r="8">
      <c r="A8" s="1" t="s">
        <v>147</v>
      </c>
      <c r="B8" s="1" t="s">
        <v>148</v>
      </c>
      <c r="C8" s="1" t="s">
        <v>30</v>
      </c>
      <c r="D8" s="1" t="s">
        <v>149</v>
      </c>
      <c r="E8" s="1" t="s">
        <v>150</v>
      </c>
      <c r="F8" s="3">
        <v>90.0</v>
      </c>
      <c r="G8" s="1" t="s">
        <v>17</v>
      </c>
      <c r="H8" s="4">
        <v>46150.0</v>
      </c>
      <c r="I8" s="8" t="s">
        <v>151</v>
      </c>
      <c r="J8" s="15">
        <f t="shared" si="3"/>
        <v>8</v>
      </c>
      <c r="K8" s="15">
        <f t="shared" si="2"/>
        <v>7</v>
      </c>
      <c r="L8" s="2">
        <v>8.0</v>
      </c>
      <c r="M8" s="2">
        <v>8.0</v>
      </c>
      <c r="N8" s="2">
        <v>7.0</v>
      </c>
      <c r="O8" s="2">
        <v>9.0</v>
      </c>
      <c r="P8" s="2" t="s">
        <v>152</v>
      </c>
    </row>
    <row r="9">
      <c r="A9" s="1" t="s">
        <v>153</v>
      </c>
      <c r="B9" s="1" t="s">
        <v>154</v>
      </c>
      <c r="C9" s="1" t="s">
        <v>155</v>
      </c>
      <c r="D9" s="1" t="s">
        <v>156</v>
      </c>
      <c r="E9" s="1" t="s">
        <v>39</v>
      </c>
      <c r="F9" s="3">
        <v>80.0</v>
      </c>
      <c r="G9" s="1" t="s">
        <v>17</v>
      </c>
      <c r="H9" s="4">
        <v>46149.0</v>
      </c>
      <c r="I9" s="8" t="s">
        <v>157</v>
      </c>
      <c r="J9" s="15">
        <f t="shared" si="3"/>
        <v>8.5</v>
      </c>
      <c r="K9" s="15">
        <f t="shared" si="2"/>
        <v>4</v>
      </c>
      <c r="L9" s="2">
        <v>8.0</v>
      </c>
      <c r="M9" s="2">
        <v>9.0</v>
      </c>
      <c r="N9" s="2">
        <v>9.0</v>
      </c>
      <c r="O9" s="2">
        <v>8.0</v>
      </c>
      <c r="P9" s="2" t="s">
        <v>158</v>
      </c>
    </row>
    <row r="10">
      <c r="A10" s="1" t="s">
        <v>159</v>
      </c>
      <c r="B10" s="1" t="s">
        <v>160</v>
      </c>
      <c r="C10" s="1" t="s">
        <v>30</v>
      </c>
      <c r="D10" s="1" t="s">
        <v>161</v>
      </c>
      <c r="E10" s="1" t="s">
        <v>162</v>
      </c>
      <c r="F10" s="3">
        <v>70.0</v>
      </c>
      <c r="G10" s="1" t="s">
        <v>25</v>
      </c>
      <c r="H10" s="4">
        <v>46149.0</v>
      </c>
      <c r="I10" s="8" t="s">
        <v>163</v>
      </c>
      <c r="J10" s="15">
        <f t="shared" si="3"/>
        <v>7.5</v>
      </c>
      <c r="K10" s="15">
        <f t="shared" si="2"/>
        <v>8</v>
      </c>
      <c r="L10" s="2">
        <v>7.0</v>
      </c>
      <c r="M10" s="2">
        <v>8.0</v>
      </c>
      <c r="N10" s="2">
        <v>7.0</v>
      </c>
      <c r="O10" s="2">
        <v>8.0</v>
      </c>
    </row>
    <row r="11">
      <c r="A11" s="1" t="s">
        <v>164</v>
      </c>
      <c r="B11" s="1" t="s">
        <v>165</v>
      </c>
      <c r="C11" s="1" t="s">
        <v>30</v>
      </c>
      <c r="D11" s="1" t="s">
        <v>166</v>
      </c>
      <c r="E11" s="1" t="s">
        <v>167</v>
      </c>
      <c r="F11" s="3">
        <v>60.0</v>
      </c>
      <c r="G11" s="1" t="s">
        <v>17</v>
      </c>
      <c r="H11" s="4">
        <v>46148.0</v>
      </c>
      <c r="I11" s="8" t="s">
        <v>168</v>
      </c>
      <c r="J11" s="15">
        <f t="shared" si="3"/>
        <v>6.75</v>
      </c>
      <c r="K11" s="15">
        <f t="shared" si="2"/>
        <v>9</v>
      </c>
      <c r="L11" s="2">
        <v>7.0</v>
      </c>
      <c r="M11" s="2">
        <v>7.0</v>
      </c>
      <c r="N11" s="2">
        <v>7.0</v>
      </c>
      <c r="O11" s="2">
        <v>6.0</v>
      </c>
      <c r="P11" s="2" t="s">
        <v>169</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