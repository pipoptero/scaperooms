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Isaac\Downloads\"/>
    </mc:Choice>
  </mc:AlternateContent>
  <xr:revisionPtr revIDLastSave="0" documentId="13_ncr:1_{FA9E5B55-A972-49BC-862F-427864AB6789}" xr6:coauthVersionLast="47" xr6:coauthVersionMax="47" xr10:uidLastSave="{00000000-0000-0000-0000-000000000000}"/>
  <bookViews>
    <workbookView xWindow="22932" yWindow="-108" windowWidth="23256" windowHeight="12576" activeTab="1" xr2:uid="{00000000-000D-0000-FFFF-FFFF00000000}"/>
  </bookViews>
  <sheets>
    <sheet name="Pendientes" sheetId="1" r:id="rId1"/>
    <sheet name="Hecho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4" i="2" l="1"/>
  <c r="J13" i="2"/>
  <c r="K13" i="2" s="1"/>
  <c r="K12" i="2"/>
  <c r="J12" i="2"/>
  <c r="K11" i="2"/>
  <c r="J11" i="2"/>
  <c r="J10" i="2"/>
  <c r="K10" i="2" s="1"/>
  <c r="J9" i="2"/>
  <c r="K9" i="2" s="1"/>
  <c r="K8" i="2"/>
  <c r="J8" i="2"/>
  <c r="J7" i="2"/>
  <c r="K7" i="2" s="1"/>
  <c r="J6" i="2"/>
  <c r="K6" i="2" s="1"/>
  <c r="J5" i="2"/>
  <c r="K5" i="2" s="1"/>
  <c r="K4" i="2"/>
  <c r="J4" i="2"/>
  <c r="J3" i="2"/>
  <c r="K3" i="2" s="1"/>
  <c r="J2" i="2"/>
  <c r="K2" i="2" s="1"/>
</calcChain>
</file>

<file path=xl/sharedStrings.xml><?xml version="1.0" encoding="utf-8"?>
<sst xmlns="http://schemas.openxmlformats.org/spreadsheetml/2006/main" count="306" uniqueCount="215">
  <si>
    <t>Nombre del Escape</t>
  </si>
  <si>
    <t>Empresa</t>
  </si>
  <si>
    <t>Ciudad</t>
  </si>
  <si>
    <t>Temática</t>
  </si>
  <si>
    <t>Tipo</t>
  </si>
  <si>
    <t>Duración</t>
  </si>
  <si>
    <t>Dificultad</t>
  </si>
  <si>
    <t>Valoración</t>
  </si>
  <si>
    <t>Web</t>
  </si>
  <si>
    <t>Max_personas</t>
  </si>
  <si>
    <t>Posición TERPECA</t>
  </si>
  <si>
    <t>Descripción</t>
  </si>
  <si>
    <t>Willy el Tuerto</t>
  </si>
  <si>
    <t>Willy el Tuerto Escape Room</t>
  </si>
  <si>
    <t>Sabadell</t>
  </si>
  <si>
    <t>Piratas / tesoro</t>
  </si>
  <si>
    <t>Aventura inmersiva</t>
  </si>
  <si>
    <t>Media</t>
  </si>
  <si>
    <t>https://willyeltuertoescaperoom.com/</t>
  </si>
  <si>
    <t>Aclamado como una de las mejores aventuras piratas de España, destacando por una escenografía espectacular que parece sacada de un parque temático. Los usuarios elogian su inmersión total en la búsqueda del tesoro y una ambientación "de 10" que te hace sentir dentro de una película de los Goonies. Top Mundial Terpeca (varios años). Ganador de premios nacionales a Mejor Escenografía y Mejor Sala de Aventura.</t>
  </si>
  <si>
    <t>Cybercity 2049</t>
  </si>
  <si>
    <t>Escape Barcelona</t>
  </si>
  <si>
    <t>Santa Coloma de Gramenet</t>
  </si>
  <si>
    <t>Cyberpunk / futurista</t>
  </si>
  <si>
    <t>Tecnológico inmersivo</t>
  </si>
  <si>
    <t>Media-Alta</t>
  </si>
  <si>
    <t>https://www.escapebarcelona.com/cybercity-2049.php</t>
  </si>
  <si>
    <t>Espectáculo visual de estilo Cyberpunk que te traslada a una ciudad futurista de 200m² inspirada en Blade Runner. Destaca por sus efectos especiales, puzzles tecnológicos de nueva generación y una toma de decisiones que afecta a la historia. Es una de las experiencias más ambiciosas y premiadas de Barcelona. Top 50 Mundial Terpeca. Ganador de múltiples premios nacionales a Mejor Sala, Mejor Escenografía y Mejor Experiencia.</t>
  </si>
  <si>
    <t>Exodus</t>
  </si>
  <si>
    <t>Elements Escape Room</t>
  </si>
  <si>
    <t>Barcelona</t>
  </si>
  <si>
    <t>Ciencia ficción</t>
  </si>
  <si>
    <t>Aventura tecnológica</t>
  </si>
  <si>
    <t>https://www.elementsescaperoom.com/exodus/</t>
  </si>
  <si>
    <t>Una odisea de ciencia ficción post-apocalíptica muy valorada por su narrativa absorbente y el papel clave del Game Master. Destaca por una ambientación de "calma-tensa" y un diseño de producción que recrea perfectamente una nave de evacuación. Los jugadores elogian la fluidez de sus puzzles y su carga emocional. Nominado a Mejor Inmersión y Mejor Narrativa en ránkings nacionales de expertos.</t>
  </si>
  <si>
    <t>La Mina</t>
  </si>
  <si>
    <t>Unreal Room Escape</t>
  </si>
  <si>
    <t>L'Hospitalet de Llobregat</t>
  </si>
  <si>
    <t>Exploración minera</t>
  </si>
  <si>
    <t>Aventura</t>
  </si>
  <si>
    <t>https://unrealroomescape.es/</t>
  </si>
  <si>
    <t>Aclamada como una de las experiencias más auténticas y físicas de Cataluña, ambientada en una explotación minera hiperrealista. Destaca por su inicio impactante, el uso de materiales reales (roca, hierro) y una atmósfera de tensión constante sin llegar al terror. Es un referente absoluto del género de aventura. Top 100 Mundial Terpeca. Ganador de premios a Mejor Sala de España y Mejor Inmersión.</t>
  </si>
  <si>
    <t>Distrito 111</t>
  </si>
  <si>
    <t>Espionaje / conspiración</t>
  </si>
  <si>
    <t>https://escapeup.es/escape-room/unreal/barcelona/distrito-111/</t>
  </si>
  <si>
    <t>Un thriller de supervivencia con una estética post-apocalíptica brutal que te sumerge en un mundo al borde del colapso. Los usuarios destacan su atmósfera cinematográfica, la tensión constante y una misión crítica que mantiene la adrenalina al máximo. Es una de las joyas de Escape Barcelona por su escala y detalle. Ganador de premios a Mejor Escenografía y nominado a Mejor Experiencia de Juego.</t>
  </si>
  <si>
    <t>Room Angie</t>
  </si>
  <si>
    <t>Ilusium Room Escape</t>
  </si>
  <si>
    <t>Thriller / misterio</t>
  </si>
  <si>
    <t>https://ilusiumroomescape.es/</t>
  </si>
  <si>
    <t>Un misterio trepidante de 80 minutos donde la tensión y el trabajo en equipo son los protagonistas. Destaca por una narrativa que te atrapa desde el inicio y un sistema de enigmas muy dinámico. Los jugadores elogian su final intenso y la capacidad de la sala para mantener el suspense hasta el último segundo.</t>
  </si>
  <si>
    <t>Enterprise</t>
  </si>
  <si>
    <t>Abduction Escape Rooms</t>
  </si>
  <si>
    <t>Badalona</t>
  </si>
  <si>
    <t>Nave espacial / sci-fi</t>
  </si>
  <si>
    <t>Tecnológico</t>
  </si>
  <si>
    <t>Alta</t>
  </si>
  <si>
    <t>https://www.abduction.es/badalona/abduction4.html</t>
  </si>
  <si>
    <t>Aventura tecnológica de alta velocidad que rompe con los clásicos candados para ofrecer puzzles basados en mecanismos avanzados. Destaca por requerir cierta agilidad física y por su ambientación de nave espacial impecable. Es ideal para quienes buscan una experiencia de pura adrenalina y retos modernos.</t>
  </si>
  <si>
    <t>Awaken</t>
  </si>
  <si>
    <t>Enigma Room Escape</t>
  </si>
  <si>
    <t>Fantasía / magia</t>
  </si>
  <si>
    <t>https://www.reddopamine.com/landing-aventura</t>
  </si>
  <si>
    <t>Experiencia inmersiva que mezcla magistralmente la fantasía y la magia, convirtiendo a los jugadores en protagonistas de su propia película. Destaca por un acting muy cuidado y pruebas diseñadas para fomentar la cooperación total. Los usuarios resaltan su capacidad de asombro y la belleza de sus escenarios. Ganador de premios a Mejor Acting y nominado a Mejor Sala de Fantasía.</t>
  </si>
  <si>
    <t>The Exam</t>
  </si>
  <si>
    <t>Abduction</t>
  </si>
  <si>
    <t>Thriller psicológico</t>
  </si>
  <si>
    <t>Misterio / tensión</t>
  </si>
  <si>
    <t>https://www.abduction.es/badalona/abduction3.html</t>
  </si>
  <si>
    <t>Un test de acción y aventura que pone a prueba tanto el ingenio como la condición física (subir, trepar y saltar). Es una sala sumamente divertida y dinámica que destaca por su originalidad y por hacer que los adultos vuelvan a sentirse como niños en un patio de recreo gigante.</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</si>
  <si>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</si>
  <si>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</si>
  <si>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</si>
  <si>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</si>
  <si>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</si>
  <si>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</si>
  <si>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</si>
  <si>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</si>
  <si>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</si>
  <si>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</si>
  <si>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</si>
  <si>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</si>
  <si>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</si>
  <si>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</si>
  <si>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</si>
  <si>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 Suele aparecer en las listas de "Salas más innovadoras" por el cambio de concepto de juego</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</si>
  <si>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</si>
  <si>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</si>
  <si>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</si>
  <si>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</si>
  <si>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</si>
  <si>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</si>
  <si>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</si>
  <si>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</si>
  <si>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</si>
  <si>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</si>
  <si>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</si>
  <si>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</si>
  <si>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</si>
  <si>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</si>
  <si>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</si>
  <si>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</si>
  <si>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</si>
  <si>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</si>
  <si>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</si>
  <si>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</si>
  <si>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</si>
  <si>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</si>
  <si>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 Una de las más premiadas en Cataluña por su escenografía (Premios Taty y otros ránkings de expertos).</t>
  </si>
  <si>
    <t>Outline</t>
  </si>
  <si>
    <t>Outline Escape</t>
  </si>
  <si>
    <t>Cornellà de Llobregat</t>
  </si>
  <si>
    <t>Terror / Fábrica abandonada</t>
  </si>
  <si>
    <t>Terror</t>
  </si>
  <si>
    <t>https://outlineescaperoom.es/</t>
  </si>
  <si>
    <t>Aclamado como una de las mejores experiencias de terror en España y posicionado en el Top Mundial por los premios Terpeca (Top Escape Rooms Project Enthusiasts' Choice Award). Destaca por su inmersión de 120 minutos, una ambientación industrial "de 10" y un acting intenso que a menudo divide al grupo. Los usuarios elogian sus puzles integrados, sustos constantes y una gran amplitud de salas que le han valido el reconocimiento como una de las salas más completas y premiadas del panorama actual.</t>
  </si>
  <si>
    <t>Synergo</t>
  </si>
  <si>
    <t>Synergo Escape</t>
  </si>
  <si>
    <t>Tensión / Cazadores de Brujas</t>
  </si>
  <si>
    <t>Tensión</t>
  </si>
  <si>
    <t>https://synergoescaperoom.es/</t>
  </si>
  <si>
    <t>Ganador de múltiples galardones en los Horror Awards y reconocido en los ránkings nacionales por su altísima calidad en puzles y una ambientación de fantasía oscura. Te sumerge en una caza de brujas implacable con una dificultad elevada que exige máxima cooperación. Su narrativa fluye a través de escenarios de bosque y cabaña hiperrealistas, consolidándose como un reto imprescindible que ha cosechado excelentes críticas por su diseño de producción y mecanismos originales.</t>
  </si>
  <si>
    <t>El cetro de fuego</t>
  </si>
  <si>
    <t>Aventura / Egipto</t>
  </si>
  <si>
    <t>https://www.elementsescaperoom.com/el-cetro-de-fuego/</t>
  </si>
  <si>
    <t>Una aventura de corte clásico inspirada en Egipto que ha sido premiada por su Escenografía y Ambientación en diversos certámenes nacionales. Con una duración de 75 minutos, ofrece una experiencia de exploración pura, ideal para familias, con pasadizos y cámaras secretas muy logrados. Los jugadores destacan su fluidez y la integración orgánica de los enigmas, lo que la mantiene siempre en los puestos altos de las recomendaciones de aventura de la ciudad.</t>
  </si>
  <si>
    <t>Ouija</t>
  </si>
  <si>
    <t>HorrorBox</t>
  </si>
  <si>
    <t>Terror Paranormal</t>
  </si>
  <si>
    <t>Media / Alta</t>
  </si>
  <si>
    <t>https://www.horrorbox.es/producto/ouija-escape-room/</t>
  </si>
  <si>
    <t>Creada por los maestros de HorrorBox, una de las empresas más galardonadas de España (premios a Mejor Experiencia, Mejor Acting y Trayectoria). Este referente del terror paranormal utiliza el espiritismo para crear una atmósfera opresiva de 60 minutos. Ha sido reconocida históricamente como una de las salas con mejor atmósfera de terror psicológico, destacando por sus efectos especiales y un acting inquietante que la sitúa como un clásico imbatible del género.</t>
  </si>
  <si>
    <t>Poison</t>
  </si>
  <si>
    <t>Kadabra</t>
  </si>
  <si>
    <t>Mataró</t>
  </si>
  <si>
    <t>Misterio</t>
  </si>
  <si>
    <t>https://www.kadabraescape.com/reserva-2/</t>
  </si>
  <si>
    <t>Un maníaco un tanto peculiar se ha fugado y tiene un descerebrado plan para acabar con todo Gotham, ¿seréis capaces de encontrar su guarida a tiempo y ponerle fin a esta locura? Se requiere un mínimo de habilidad física, no saltaréis por ningún lado pero sí os deberéis en algún momento agachar durante el recorrido del juego. No es un juego de terror, el sonido o la ambientación podrán confundir pero remarcamos para todos aquellos que tengáis alguna duda: No es de terror, podrá jugar todo el público.</t>
  </si>
  <si>
    <t>Achijira</t>
  </si>
  <si>
    <t>Red Dopamine</t>
  </si>
  <si>
    <t>Avenura</t>
  </si>
  <si>
    <t>https://www.reddopamine.com/landing-misterio-achijira</t>
  </si>
  <si>
    <t>Tu Misión Será recatar a los que hicieron la última expedición. Su vida está en tus manos. No es tan sencillo como parece. Las pruebas y los distintos tipos de escenarios que te encontrarán pondrán a prueba tu conocimiento. Jugar es fácil, conseguir que todo salga bien no tanto...</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</si>
  <si>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</si>
  <si>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</si>
  <si>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</si>
  <si>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</si>
  <si>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</si>
  <si>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</si>
  <si>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</si>
  <si>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</si>
  <si>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</si>
  <si>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</si>
  <si>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</si>
  <si>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</si>
  <si>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</si>
  <si>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</si>
  <si>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</si>
  <si>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</si>
  <si>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</si>
  <si>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</si>
  <si>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</si>
  <si>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</si>
  <si>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Ambientación muy cuidada y sorprendente, lo mejor del escape. Requiere algo de agilidad física. Inicio algo duro: los primeros enigmas cuestan incluso con experiencia, pero luego fluye mejor.  Gran trabajo del GM como NPC, con buena tensión durante la partida. Ojo: zona complicada para aparcar.</t>
  </si>
  <si>
    <t>Jurásico</t>
  </si>
  <si>
    <t>Golden Pop</t>
  </si>
  <si>
    <t>Dinosaurios</t>
  </si>
  <si>
    <t>Aventura familiar</t>
  </si>
  <si>
    <t>https://goldenpop.es/jurasico/</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</si>
  <si>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</si>
  <si>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</si>
  <si>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</si>
  <si>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</si>
  <si>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</si>
  <si>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t>https://www.roomwhitechapel.com/</t>
  </si>
  <si>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</si>
  <si>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</si>
  <si>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</si>
  <si>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t>https://goldenpop.es/juegos/catacumbas/</t>
  </si>
  <si>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</si>
  <si>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</si>
  <si>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</si>
  <si>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</si>
  <si>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https://terrorstories.com/barcelona/exorcista-escape-room</t>
  </si>
  <si>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</si>
  <si>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</si>
  <si>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Bollywood / India</t>
  </si>
  <si>
    <t>https://www.kadabraescape.com/el-secreto-de-jaipur/</t>
  </si>
  <si>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</si>
  <si>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</si>
  <si>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</si>
  <si>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</si>
  <si>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</si>
  <si>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t>https://www.encryptroom.com/</t>
  </si>
  <si>
    <t>Bank of Thaqar</t>
  </si>
  <si>
    <t>MissionLeak</t>
  </si>
  <si>
    <t>Atraco / Acción</t>
  </si>
  <si>
    <t>Acción</t>
  </si>
  <si>
    <t>https://www.missionleak.com/bankofthaqar</t>
  </si>
  <si>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</si>
  <si>
    <t>Roomions</t>
  </si>
  <si>
    <t>Virus Games</t>
  </si>
  <si>
    <t>Calella</t>
  </si>
  <si>
    <t>Fiesta</t>
  </si>
  <si>
    <t>Media/Facil</t>
  </si>
  <si>
    <t>https://virusroomescape.com/es/escape-room-calella-roomions/#reserva-roomions</t>
  </si>
  <si>
    <t>Hoy hemos probado el escape room de Roomions y la experiencia ha sido muy positiva. Fuimos dos adultos y dos niños (6 y 10 años) y el juego funcionó perfecto para todos. El pequeño, en su primer escape room, participó mucho y salió encantado. La mayor, con experiencia, también lo disfrutó mucho. Es un room de tamaño contenido (una sala y media), pero muy bien aprovechado: no paras en ningún momento y todo fluye. Mención especial al Game Master, Edu (Nefario Jr.), que lo hizo genial. Muy recomendable: familiar y muy divertido.</t>
  </si>
  <si>
    <t>Tao Room Escape</t>
  </si>
  <si>
    <t>https://virusroomescape.com/es/escape-room-calella-tao/</t>
  </si>
  <si>
    <t>Visitamos Tao Room Escape Virus Games en grupo de 8 (4 adultos y 4 niños de entre 6 y 10 años, algunos ya con experiencia en escape rooms). La experiencia seguramente cambia mucho según el tamaño del grupo: en nuestro caso, las salas se nos quedaron pequeñas y con pocos enigmas para tanta gente, lo que hizo que varios participantes se quedaran sin apenas intervenir. Es una pena, porque es un escape del que nos habían hablado muy bien y le teníamos muchas ganas. Aun así, nos dejó un poco fríos. Probablemente sea más disfrutable en grupos más reducidos (3-4 personas). No descartamos darle otra oportunidad en el futuro en ese formato.</t>
  </si>
  <si>
    <t>El secreto de los Krugger</t>
  </si>
  <si>
    <t>Insomnia Corp.</t>
  </si>
  <si>
    <t>Berga</t>
  </si>
  <si>
    <t>https://www.insomniacorp.com/escapes/secreto-krugger</t>
  </si>
  <si>
    <t>Fuimos a vivir la experiencia de El Secreto de los Krugger y salimos convencidos de que una sola vez no es suficiente.
Éramos dos parejas y cogimos una habitación por pareja, así que pudimos jugar dos experiencias distintas: Xperiment y Aradia.
Xperiment nos pareció una auténtica barbaridad: enorme, súper inmersiva y muy disfrutable. Conseguimos salir en unos 70-75 minutos. Después hicimos los cuatro juntos Aradia y llegamos por los pelos… incluso teniendo que mirar alguna prueba en el papel de ayuda (sí, losers). Aun así, las dos horas volaron. Cuesta entender cómo se le puede sacar tantísimo partido a unas habitaciones. Ambientaciones brutales.
Luego llegó la cena tematizada con espectáculo, que ya fue otro nivel… y para rematar, el auténtico “escape de los escapes”: todo el hotel abierto, corriendo por pasillos, persecuciones, sustos y una tensión constante espectacular.
De los 22 juegos no conseguimos verlo todo: resolvimos unos 10 y llegaríamos a ver unos 16-18 aproximadamente.
Sinceramente, dudo que podamos vivir una experiencia de terror mejor que la que ofrece Krugger. Una auténtica pasada.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</si>
</sst>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
  </numFmts>
  <fonts count="17">
    <font>
      <sz val="10"/>
      <color rgb="FF000000"/>
      <name val="Arial"/>
      <scheme val="minor"/>
    </font>
    <font>
      <sz val="11"/>
      <color rgb="FF000000"/>
      <name val="Calibri"/>
    </font>
    <font>
      <sz val="10"/>
      <color theme="1"/>
      <name val="Arial"/>
      <scheme val="minor"/>
    </font>
    <font>
      <u/>
      <sz val="11"/>
      <color rgb="FF0000FF"/>
      <name val="Calibri"/>
    </font>
    <font>
      <u/>
      <sz val="11"/>
      <color rgb="FF000000"/>
      <name val="Calibri"/>
    </font>
    <font>
      <i/>
      <sz val="10"/>
      <color theme="1"/>
      <name val="Arial"/>
      <scheme val="minor"/>
    </font>
    <font>
      <sz val="11"/>
      <color theme="1"/>
      <name val="Calibri"/>
    </font>
    <font>
      <u/>
      <sz val="11"/>
      <color rgb="FF0000FF"/>
      <name val="Calibri"/>
    </font>
    <font>
      <b/>
      <sz val="10"/>
      <color theme="1"/>
      <name val="&quot;Google Sans Text&quot;"/>
    </font>
    <font>
      <sz val="10"/>
      <color theme="1"/>
      <name val="&quot;Google Sans Text&quot;"/>
    </font>
    <font>
      <u/>
      <sz val="10"/>
      <color rgb="FF0000FF"/>
      <name val="&quot;Google Sans Text&quot;"/>
    </font>
    <font>
      <u/>
      <sz val="10"/>
      <color rgb="FF0000FF"/>
      <name val="Arial"/>
    </font>
    <font>
      <b/>
      <sz val="10"/>
      <color rgb="FF1F1F1F"/>
      <name val="&quot;Google Sans Text&quot;"/>
    </font>
    <font>
      <sz val="10"/>
      <color rgb="FF1F1F1F"/>
      <name val="&quot;Google Sans Text&quot;"/>
    </font>
    <font>
      <u/>
      <sz val="10"/>
      <color rgb="FF0000FF"/>
      <name val="Arial"/>
    </font>
    <font>
      <b/>
      <sz val="11"/>
      <color theme="1"/>
      <name val="Calibri"/>
    </font>
    <font>
      <u/>
      <sz val="10"/>
      <color theme="10"/>
      <name val="Arial"/>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6" fillId="0" borderId="0" applyNumberFormat="0" applyFill="0" applyBorder="0" applyAlignment="0" applyProtection="0"/>
  </cellStyleXfs>
  <cellXfs count="24">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right"/>
    </xf>
    <xf numFmtId="164" fontId="1" fillId="0" borderId="0" xfId="0" applyNumberFormat="1" applyFont="1" applyAlignment="1">
      <alignment horizontal="right"/>
    </xf>
    <xf numFmtId="0" fontId="3" fillId="0" borderId="0" xfId="0" applyFont="1" applyAlignment="1"/>
    <xf numFmtId="0" fontId="4" fillId="0" borderId="0" xfId="0" applyFont="1" applyAlignment="1"/>
    <xf numFmtId="0" fontId="5" fillId="0" borderId="0" xfId="0" applyFont="1" applyAlignment="1"/>
    <xf numFmtId="0" fontId="6" fillId="0" borderId="0" xfId="0" applyFont="1" applyAlignment="1"/>
    <xf numFmtId="0" fontId="7" fillId="0" borderId="0" xfId="0" applyFont="1" applyAlignment="1"/>
    <xf numFmtId="0" fontId="8" fillId="0" borderId="0" xfId="0" applyFont="1" applyAlignment="1"/>
    <xf numFmtId="0" fontId="9" fillId="0" borderId="0" xfId="0" applyFont="1" applyAlignment="1"/>
    <xf numFmtId="164" fontId="9" fillId="0" borderId="0" xfId="0" applyNumberFormat="1" applyFont="1" applyAlignment="1"/>
    <xf numFmtId="0" fontId="10" fillId="0" borderId="0" xfId="0" applyFont="1" applyAlignment="1"/>
    <xf numFmtId="0" fontId="11" fillId="0" borderId="0" xfId="0" applyFont="1" applyAlignment="1"/>
    <xf numFmtId="164" fontId="12" fillId="0" borderId="0" xfId="0" applyNumberFormat="1" applyFont="1" applyAlignment="1"/>
    <xf numFmtId="0" fontId="13" fillId="0" borderId="0" xfId="0" applyFont="1" applyAlignment="1"/>
    <xf numFmtId="164" fontId="2" fillId="0" borderId="0" xfId="0" applyNumberFormat="1" applyFont="1" applyAlignment="1"/>
    <xf numFmtId="0" fontId="14" fillId="0" borderId="0" xfId="0" applyFont="1" applyAlignment="1"/>
    <xf numFmtId="0" fontId="12" fillId="0" borderId="0" xfId="0" applyFont="1" applyAlignment="1"/>
    <xf numFmtId="0" fontId="15" fillId="0" borderId="1" xfId="0" applyFont="1" applyBorder="1" applyAlignment="1">
      <alignment horizontal="center" vertical="top"/>
    </xf>
    <xf numFmtId="0" fontId="2" fillId="0" borderId="0" xfId="0" applyFont="1"/>
    <xf numFmtId="0" fontId="16" fillId="0" borderId="0" xfId="1" applyAlignment="1"/>
    <xf numFmtId="0" fontId="0" fillId="0" borderId="0" xfId="0" applyFont="1" applyAlignment="1">
      <alignment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reddopamine.com/landing-aventura" TargetMode="External"/><Relationship Id="rId13" Type="http://schemas.openxmlformats.org/officeDocument/2006/relationships/hyperlink" Target="https://www.escapebarcelona.com/tomb-hunter-la-leyenda-de-akasha.php" TargetMode="External"/><Relationship Id="rId18" Type="http://schemas.openxmlformats.org/officeDocument/2006/relationships/hyperlink" Target="https://synergoescaperoom.es/" TargetMode="External"/><Relationship Id="rId3" Type="http://schemas.openxmlformats.org/officeDocument/2006/relationships/hyperlink" Target="https://www.elementsescaperoom.com/exodus/" TargetMode="External"/><Relationship Id="rId21" Type="http://schemas.openxmlformats.org/officeDocument/2006/relationships/hyperlink" Target="https://www.kadabraescape.com/reserva-2/" TargetMode="External"/><Relationship Id="rId7" Type="http://schemas.openxmlformats.org/officeDocument/2006/relationships/hyperlink" Target="https://www.abduction.es/badalona/abduction4.html" TargetMode="External"/><Relationship Id="rId12" Type="http://schemas.openxmlformats.org/officeDocument/2006/relationships/hyperlink" Target="https://vortexescape.com/reservar-ahora" TargetMode="External"/><Relationship Id="rId17" Type="http://schemas.openxmlformats.org/officeDocument/2006/relationships/hyperlink" Target="https://outlineescaperoom.es/" TargetMode="External"/><Relationship Id="rId2" Type="http://schemas.openxmlformats.org/officeDocument/2006/relationships/hyperlink" Target="https://www.escapebarcelona.com/cybercity-2049.php" TargetMode="External"/><Relationship Id="rId16" Type="http://schemas.openxmlformats.org/officeDocument/2006/relationships/hyperlink" Target="https://www.elementsescaperoom.com/katrina/" TargetMode="External"/><Relationship Id="rId20" Type="http://schemas.openxmlformats.org/officeDocument/2006/relationships/hyperlink" Target="https://www.horrorbox.es/producto/ouija-escape-room/" TargetMode="External"/><Relationship Id="rId1" Type="http://schemas.openxmlformats.org/officeDocument/2006/relationships/hyperlink" Target="https://willyeltuertoescaperoom.com/" TargetMode="External"/><Relationship Id="rId6" Type="http://schemas.openxmlformats.org/officeDocument/2006/relationships/hyperlink" Target="https://ilusiumroomescape.es/" TargetMode="External"/><Relationship Id="rId11" Type="http://schemas.openxmlformats.org/officeDocument/2006/relationships/hyperlink" Target="https://www.elementsescaperoom.com/atlantis/" TargetMode="External"/><Relationship Id="rId5" Type="http://schemas.openxmlformats.org/officeDocument/2006/relationships/hyperlink" Target="https://escapeup.es/escape-room/unreal/barcelona/distrito-111/" TargetMode="External"/><Relationship Id="rId15" Type="http://schemas.openxmlformats.org/officeDocument/2006/relationships/hyperlink" Target="https://criogenicescaperoom.com/barcelona" TargetMode="External"/><Relationship Id="rId10" Type="http://schemas.openxmlformats.org/officeDocument/2006/relationships/hyperlink" Target="https://www.escapebarcelona.com/jurassic-land.php" TargetMode="External"/><Relationship Id="rId19" Type="http://schemas.openxmlformats.org/officeDocument/2006/relationships/hyperlink" Target="https://www.elementsescaperoom.com/el-cetro-de-fuego/"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4" Type="http://schemas.openxmlformats.org/officeDocument/2006/relationships/hyperlink" Target="https://www.escapebarcelona.com/alien-el-origen.php" TargetMode="External"/><Relationship Id="rId22" Type="http://schemas.openxmlformats.org/officeDocument/2006/relationships/hyperlink" Target="https://www.reddopamine.com/landing-misterio-achijira"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kadabraescape.com/el-secreto-de-jaipur/" TargetMode="External"/><Relationship Id="rId13" Type="http://schemas.openxmlformats.org/officeDocument/2006/relationships/hyperlink" Target="https://www.insomniacorp.com/escapes/secreto-krugger" TargetMode="External"/><Relationship Id="rId3" Type="http://schemas.openxmlformats.org/officeDocument/2006/relationships/hyperlink" Target="https://escapebarcelona.com/" TargetMode="External"/><Relationship Id="rId7" Type="http://schemas.openxmlformats.org/officeDocument/2006/relationships/hyperlink" Target="https://terrorstories.com/barcelona/exorcista-escape-room" TargetMode="External"/><Relationship Id="rId12" Type="http://schemas.openxmlformats.org/officeDocument/2006/relationships/hyperlink" Target="https://virusroomescape.com/es/escape-room-calella-tao/" TargetMode="External"/><Relationship Id="rId2" Type="http://schemas.openxmlformats.org/officeDocument/2006/relationships/hyperlink" Target="https://thecityescape.com/" TargetMode="External"/><Relationship Id="rId1" Type="http://schemas.openxmlformats.org/officeDocument/2006/relationships/hyperlink" Target="https://sagaescaperoom.com/" TargetMode="External"/><Relationship Id="rId6" Type="http://schemas.openxmlformats.org/officeDocument/2006/relationships/hyperlink" Target="https://goldenpop.es/juegos/catacumbas/" TargetMode="External"/><Relationship Id="rId11" Type="http://schemas.openxmlformats.org/officeDocument/2006/relationships/hyperlink" Target="https://virusroomescape.com/es/escape-room-calella-roomions/" TargetMode="External"/><Relationship Id="rId5" Type="http://schemas.openxmlformats.org/officeDocument/2006/relationships/hyperlink" Target="https://www.roomwhitechapel.com/" TargetMode="External"/><Relationship Id="rId10" Type="http://schemas.openxmlformats.org/officeDocument/2006/relationships/hyperlink" Target="https://www.missionleak.com/bankofthaqar" TargetMode="External"/><Relationship Id="rId4" Type="http://schemas.openxmlformats.org/officeDocument/2006/relationships/hyperlink" Target="https://goldenpop.es/jurasico/" TargetMode="External"/><Relationship Id="rId9" Type="http://schemas.openxmlformats.org/officeDocument/2006/relationships/hyperlink" Target="https://www.encryptroom.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L40"/>
  <sheetViews>
    <sheetView workbookViewId="0"/>
  </sheetViews>
  <sheetFormatPr baseColWidth="10" defaultColWidth="12.6640625" defaultRowHeight="15.75" customHeight="1"/>
  <cols>
    <col min="1" max="1" width="39.88671875" customWidth="1"/>
    <col min="2" max="2" width="14" customWidth="1"/>
    <col min="3" max="3" width="7.21875" customWidth="1"/>
    <col min="4" max="4" width="8.6640625" customWidth="1"/>
    <col min="6" max="6" width="6.109375" customWidth="1"/>
    <col min="7" max="7" width="7" customWidth="1"/>
    <col min="8" max="8" width="8.77734375" customWidth="1"/>
    <col min="9" max="9" width="61.77734375" customWidth="1"/>
    <col min="10" max="10" width="13.88671875" customWidth="1"/>
    <col min="11" max="11" width="11.33203125" customWidth="1"/>
    <col min="12" max="12" width="370.44140625" customWidth="1"/>
    <col min="13" max="13" width="145.21875" customWidth="1"/>
  </cols>
  <sheetData>
    <row r="1" spans="1:12" ht="15.75" customHeight="1">
      <c r="A1" s="1" t="s">
        <v>0</v>
      </c>
      <c r="B1" s="1" t="s">
        <v>1</v>
      </c>
      <c r="C1" s="1" t="s">
        <v>2</v>
      </c>
      <c r="D1" s="1" t="s">
        <v>3</v>
      </c>
      <c r="E1" s="1" t="s">
        <v>4</v>
      </c>
      <c r="F1" s="1" t="s">
        <v>5</v>
      </c>
      <c r="G1" s="1" t="s">
        <v>6</v>
      </c>
      <c r="H1" s="1" t="s">
        <v>7</v>
      </c>
      <c r="I1" s="1" t="s">
        <v>8</v>
      </c>
      <c r="J1" s="1" t="s">
        <v>9</v>
      </c>
      <c r="K1" s="2" t="s">
        <v>10</v>
      </c>
      <c r="L1" s="1" t="s">
        <v>11</v>
      </c>
    </row>
    <row r="2" spans="1:12" ht="15.75" customHeight="1">
      <c r="A2" s="1" t="s">
        <v>12</v>
      </c>
      <c r="B2" s="1" t="s">
        <v>13</v>
      </c>
      <c r="C2" s="1" t="s">
        <v>14</v>
      </c>
      <c r="D2" s="1" t="s">
        <v>15</v>
      </c>
      <c r="E2" s="1" t="s">
        <v>16</v>
      </c>
      <c r="F2" s="3">
        <v>80</v>
      </c>
      <c r="G2" s="1" t="s">
        <v>17</v>
      </c>
      <c r="H2" s="4">
        <v>46062</v>
      </c>
      <c r="I2" s="5" t="s">
        <v>18</v>
      </c>
      <c r="J2" s="1">
        <v>6</v>
      </c>
      <c r="K2" s="2">
        <v>71</v>
      </c>
      <c r="L2" s="2" t="s">
        <v>19</v>
      </c>
    </row>
    <row r="3" spans="1:12" ht="15.75" customHeight="1">
      <c r="A3" s="1" t="s">
        <v>20</v>
      </c>
      <c r="B3" s="1" t="s">
        <v>21</v>
      </c>
      <c r="C3" s="1" t="s">
        <v>22</v>
      </c>
      <c r="D3" s="1" t="s">
        <v>23</v>
      </c>
      <c r="E3" s="1" t="s">
        <v>24</v>
      </c>
      <c r="F3" s="3">
        <v>120</v>
      </c>
      <c r="G3" s="1" t="s">
        <v>25</v>
      </c>
      <c r="H3" s="4">
        <v>46090</v>
      </c>
      <c r="I3" s="6" t="s">
        <v>26</v>
      </c>
      <c r="J3" s="1">
        <v>6</v>
      </c>
      <c r="K3" s="7">
        <v>55</v>
      </c>
      <c r="L3" s="7" t="s">
        <v>27</v>
      </c>
    </row>
    <row r="4" spans="1:12" ht="15.75" customHeight="1">
      <c r="A4" s="1" t="s">
        <v>28</v>
      </c>
      <c r="B4" s="1" t="s">
        <v>29</v>
      </c>
      <c r="C4" s="1" t="s">
        <v>30</v>
      </c>
      <c r="D4" s="1" t="s">
        <v>31</v>
      </c>
      <c r="E4" s="1" t="s">
        <v>32</v>
      </c>
      <c r="F4" s="3">
        <v>90</v>
      </c>
      <c r="G4" s="1" t="s">
        <v>25</v>
      </c>
      <c r="H4" s="4">
        <v>46273</v>
      </c>
      <c r="I4" s="6" t="s">
        <v>33</v>
      </c>
      <c r="J4" s="1">
        <v>6</v>
      </c>
      <c r="K4" s="2"/>
      <c r="L4" s="2" t="s">
        <v>34</v>
      </c>
    </row>
    <row r="5" spans="1:12" ht="15.75" customHeight="1">
      <c r="A5" s="1" t="s">
        <v>35</v>
      </c>
      <c r="B5" s="1" t="s">
        <v>36</v>
      </c>
      <c r="C5" s="1" t="s">
        <v>37</v>
      </c>
      <c r="D5" s="1" t="s">
        <v>38</v>
      </c>
      <c r="E5" s="1" t="s">
        <v>39</v>
      </c>
      <c r="F5" s="3">
        <v>90</v>
      </c>
      <c r="G5" s="1" t="s">
        <v>17</v>
      </c>
      <c r="H5" s="4">
        <v>46211</v>
      </c>
      <c r="I5" s="6" t="s">
        <v>40</v>
      </c>
      <c r="J5" s="1">
        <v>7</v>
      </c>
      <c r="K5" s="2">
        <v>78</v>
      </c>
      <c r="L5" s="2" t="s">
        <v>41</v>
      </c>
    </row>
    <row r="6" spans="1:12" ht="15.75" customHeight="1">
      <c r="A6" s="1" t="s">
        <v>42</v>
      </c>
      <c r="B6" s="1" t="s">
        <v>21</v>
      </c>
      <c r="C6" s="1" t="s">
        <v>30</v>
      </c>
      <c r="D6" s="1" t="s">
        <v>43</v>
      </c>
      <c r="E6" s="1" t="s">
        <v>16</v>
      </c>
      <c r="F6" s="3">
        <v>90</v>
      </c>
      <c r="G6" s="1" t="s">
        <v>25</v>
      </c>
      <c r="H6" s="4">
        <v>46150</v>
      </c>
      <c r="I6" s="5" t="s">
        <v>44</v>
      </c>
      <c r="J6" s="1">
        <v>7</v>
      </c>
      <c r="K6" s="2"/>
      <c r="L6" s="2" t="s">
        <v>45</v>
      </c>
    </row>
    <row r="7" spans="1:12" ht="15.75" customHeight="1">
      <c r="A7" s="1" t="s">
        <v>46</v>
      </c>
      <c r="B7" s="1" t="s">
        <v>47</v>
      </c>
      <c r="C7" s="1" t="s">
        <v>30</v>
      </c>
      <c r="D7" s="1" t="s">
        <v>48</v>
      </c>
      <c r="E7" s="1" t="s">
        <v>39</v>
      </c>
      <c r="F7" s="3">
        <v>120</v>
      </c>
      <c r="G7" s="1" t="s">
        <v>17</v>
      </c>
      <c r="H7" s="4">
        <v>46241</v>
      </c>
      <c r="I7" s="6" t="s">
        <v>49</v>
      </c>
      <c r="J7" s="1">
        <v>8</v>
      </c>
      <c r="K7" s="2"/>
      <c r="L7" s="2" t="s">
        <v>50</v>
      </c>
    </row>
    <row r="8" spans="1:12" ht="15.75" customHeight="1">
      <c r="A8" s="1" t="s">
        <v>51</v>
      </c>
      <c r="B8" s="1" t="s">
        <v>52</v>
      </c>
      <c r="C8" s="1" t="s">
        <v>53</v>
      </c>
      <c r="D8" s="1" t="s">
        <v>54</v>
      </c>
      <c r="E8" s="1" t="s">
        <v>55</v>
      </c>
      <c r="F8" s="3">
        <v>90</v>
      </c>
      <c r="G8" s="1" t="s">
        <v>56</v>
      </c>
      <c r="H8" s="4">
        <v>46149</v>
      </c>
      <c r="I8" s="6" t="s">
        <v>57</v>
      </c>
      <c r="J8" s="1">
        <v>10</v>
      </c>
      <c r="K8" s="2"/>
      <c r="L8" s="2" t="s">
        <v>58</v>
      </c>
    </row>
    <row r="9" spans="1:12" ht="15.75" customHeight="1">
      <c r="A9" s="1" t="s">
        <v>59</v>
      </c>
      <c r="B9" s="1" t="s">
        <v>60</v>
      </c>
      <c r="C9" s="1" t="s">
        <v>30</v>
      </c>
      <c r="D9" s="1" t="s">
        <v>61</v>
      </c>
      <c r="E9" s="1" t="s">
        <v>16</v>
      </c>
      <c r="F9" s="3">
        <v>90</v>
      </c>
      <c r="G9" s="1" t="s">
        <v>25</v>
      </c>
      <c r="H9" s="4">
        <v>46061</v>
      </c>
      <c r="I9" s="6" t="s">
        <v>62</v>
      </c>
      <c r="J9" s="1">
        <v>7</v>
      </c>
      <c r="K9" s="2"/>
      <c r="L9" s="2" t="s">
        <v>63</v>
      </c>
    </row>
    <row r="10" spans="1:12" ht="15.75" customHeight="1">
      <c r="A10" s="1" t="s">
        <v>64</v>
      </c>
      <c r="B10" s="1" t="s">
        <v>65</v>
      </c>
      <c r="C10" s="1" t="s">
        <v>53</v>
      </c>
      <c r="D10" s="1" t="s">
        <v>66</v>
      </c>
      <c r="E10" s="1" t="s">
        <v>67</v>
      </c>
      <c r="F10" s="3">
        <v>90</v>
      </c>
      <c r="G10" s="1" t="s">
        <v>56</v>
      </c>
      <c r="H10" s="4">
        <v>46030</v>
      </c>
      <c r="I10" s="6" t="s">
        <v>68</v>
      </c>
      <c r="J10" s="1">
        <v>6</v>
      </c>
      <c r="K10" s="2"/>
      <c r="L10" s="2" t="s">
        <v>69</v>
      </c>
    </row>
    <row r="11" spans="1:12" ht="15.75" customHeight="1">
      <c r="A11" s="8" t="s">
        <v>70</v>
      </c>
      <c r="B11" s="1" t="s">
        <v>21</v>
      </c>
      <c r="C11" s="1" t="s">
        <v>30</v>
      </c>
      <c r="D11" s="1" t="s">
        <v>71</v>
      </c>
      <c r="E11" s="1" t="s">
        <v>39</v>
      </c>
      <c r="F11" s="3">
        <v>60</v>
      </c>
      <c r="G11" s="1" t="s">
        <v>17</v>
      </c>
      <c r="H11" s="3">
        <v>6</v>
      </c>
      <c r="I11" s="6" t="s">
        <v>72</v>
      </c>
      <c r="J11" s="1">
        <v>10</v>
      </c>
      <c r="K11" s="1"/>
      <c r="L11" s="1" t="s">
        <v>73</v>
      </c>
    </row>
    <row r="12" spans="1:12" ht="15.75" customHeight="1">
      <c r="A12" s="1" t="s">
        <v>74</v>
      </c>
      <c r="B12" s="1" t="s">
        <v>75</v>
      </c>
      <c r="C12" s="1" t="s">
        <v>30</v>
      </c>
      <c r="D12" s="1" t="s">
        <v>76</v>
      </c>
      <c r="E12" s="1" t="s">
        <v>39</v>
      </c>
      <c r="F12" s="3">
        <v>75</v>
      </c>
      <c r="G12" s="1" t="s">
        <v>17</v>
      </c>
      <c r="H12" s="4">
        <v>46061</v>
      </c>
      <c r="I12" s="6" t="s">
        <v>77</v>
      </c>
      <c r="J12" s="1">
        <v>12</v>
      </c>
      <c r="K12" s="1"/>
      <c r="L12" s="1" t="s">
        <v>78</v>
      </c>
    </row>
    <row r="13" spans="1:12" ht="15.75" customHeight="1">
      <c r="A13" s="1" t="s">
        <v>79</v>
      </c>
      <c r="B13" s="1" t="s">
        <v>80</v>
      </c>
      <c r="C13" s="1" t="s">
        <v>81</v>
      </c>
      <c r="D13" s="1" t="s">
        <v>82</v>
      </c>
      <c r="E13" s="1" t="s">
        <v>83</v>
      </c>
      <c r="F13" s="3">
        <v>120</v>
      </c>
      <c r="G13" s="1" t="s">
        <v>25</v>
      </c>
      <c r="H13" s="4">
        <v>46090</v>
      </c>
      <c r="I13" s="9" t="s">
        <v>84</v>
      </c>
      <c r="J13" s="1">
        <v>7</v>
      </c>
      <c r="K13" s="1"/>
      <c r="L13" s="1" t="s">
        <v>85</v>
      </c>
    </row>
    <row r="14" spans="1:12" ht="15.75" customHeight="1">
      <c r="A14" s="2" t="s">
        <v>86</v>
      </c>
      <c r="B14" s="1" t="s">
        <v>21</v>
      </c>
      <c r="C14" s="1" t="s">
        <v>30</v>
      </c>
      <c r="D14" s="1" t="s">
        <v>87</v>
      </c>
      <c r="E14" s="1" t="s">
        <v>88</v>
      </c>
      <c r="F14" s="3">
        <v>80</v>
      </c>
      <c r="G14" s="1" t="s">
        <v>17</v>
      </c>
      <c r="H14" s="3">
        <v>7</v>
      </c>
      <c r="I14" s="6" t="s">
        <v>89</v>
      </c>
      <c r="J14" s="2">
        <v>6</v>
      </c>
      <c r="K14" s="1"/>
      <c r="L14" s="1" t="s">
        <v>90</v>
      </c>
    </row>
    <row r="15" spans="1:12" ht="15.75" customHeight="1">
      <c r="A15" s="1" t="s">
        <v>91</v>
      </c>
      <c r="B15" s="1" t="s">
        <v>21</v>
      </c>
      <c r="C15" s="1" t="s">
        <v>22</v>
      </c>
      <c r="D15" s="1" t="s">
        <v>92</v>
      </c>
      <c r="E15" s="1" t="s">
        <v>93</v>
      </c>
      <c r="F15" s="3">
        <v>80</v>
      </c>
      <c r="G15" s="1" t="s">
        <v>17</v>
      </c>
      <c r="H15" s="4">
        <v>46150</v>
      </c>
      <c r="I15" s="6" t="s">
        <v>94</v>
      </c>
      <c r="J15" s="1">
        <v>10</v>
      </c>
      <c r="K15" s="1"/>
      <c r="L15" s="1" t="s">
        <v>95</v>
      </c>
    </row>
    <row r="16" spans="1:12" ht="15.75" customHeight="1">
      <c r="A16" s="1" t="s">
        <v>96</v>
      </c>
      <c r="B16" s="1" t="s">
        <v>97</v>
      </c>
      <c r="C16" s="1" t="s">
        <v>30</v>
      </c>
      <c r="D16" s="1" t="s">
        <v>98</v>
      </c>
      <c r="E16" s="1" t="s">
        <v>99</v>
      </c>
      <c r="F16" s="3">
        <v>120</v>
      </c>
      <c r="G16" s="1" t="s">
        <v>56</v>
      </c>
      <c r="H16" s="4">
        <v>46150</v>
      </c>
      <c r="I16" s="6" t="s">
        <v>100</v>
      </c>
      <c r="J16" s="1">
        <v>8</v>
      </c>
      <c r="K16" s="1"/>
      <c r="L16" s="1" t="s">
        <v>101</v>
      </c>
    </row>
    <row r="17" spans="1:12" ht="15.75" customHeight="1">
      <c r="A17" s="10" t="s">
        <v>102</v>
      </c>
      <c r="B17" s="11" t="s">
        <v>103</v>
      </c>
      <c r="C17" s="11" t="s">
        <v>104</v>
      </c>
      <c r="D17" s="11" t="s">
        <v>105</v>
      </c>
      <c r="E17" s="11" t="s">
        <v>106</v>
      </c>
      <c r="F17" s="11">
        <v>120</v>
      </c>
      <c r="G17" s="11" t="s">
        <v>25</v>
      </c>
      <c r="H17" s="12">
        <v>46212</v>
      </c>
      <c r="I17" s="13" t="s">
        <v>107</v>
      </c>
      <c r="J17" s="2">
        <v>6</v>
      </c>
      <c r="K17" s="1">
        <v>19</v>
      </c>
      <c r="L17" s="1" t="s">
        <v>108</v>
      </c>
    </row>
    <row r="18" spans="1:12" ht="15.75" customHeight="1">
      <c r="A18" s="2" t="s">
        <v>109</v>
      </c>
      <c r="B18" s="2" t="s">
        <v>110</v>
      </c>
      <c r="C18" s="2" t="s">
        <v>111</v>
      </c>
      <c r="D18" s="2" t="s">
        <v>112</v>
      </c>
      <c r="E18" s="2" t="s">
        <v>113</v>
      </c>
      <c r="F18" s="2">
        <v>120</v>
      </c>
      <c r="G18" s="11" t="s">
        <v>25</v>
      </c>
      <c r="H18" s="12">
        <v>46243</v>
      </c>
      <c r="I18" s="14" t="s">
        <v>114</v>
      </c>
      <c r="J18" s="2">
        <v>6</v>
      </c>
      <c r="K18" s="2">
        <v>12</v>
      </c>
      <c r="L18" s="1" t="s">
        <v>115</v>
      </c>
    </row>
    <row r="19" spans="1:12" ht="15.75" customHeight="1">
      <c r="A19" s="2" t="s">
        <v>116</v>
      </c>
      <c r="B19" s="2" t="s">
        <v>117</v>
      </c>
      <c r="C19" s="2" t="s">
        <v>111</v>
      </c>
      <c r="D19" s="2" t="s">
        <v>118</v>
      </c>
      <c r="E19" s="2" t="s">
        <v>119</v>
      </c>
      <c r="F19" s="2">
        <v>80</v>
      </c>
      <c r="G19" s="1" t="s">
        <v>56</v>
      </c>
      <c r="H19" s="15">
        <v>46182</v>
      </c>
      <c r="I19" s="14" t="s">
        <v>120</v>
      </c>
      <c r="J19" s="2">
        <v>7</v>
      </c>
      <c r="K19" s="1">
        <v>113</v>
      </c>
      <c r="L19" s="1" t="s">
        <v>121</v>
      </c>
    </row>
    <row r="20" spans="1:12" ht="15.75" customHeight="1">
      <c r="A20" s="2" t="s">
        <v>122</v>
      </c>
      <c r="B20" s="2" t="s">
        <v>103</v>
      </c>
      <c r="C20" s="2" t="s">
        <v>30</v>
      </c>
      <c r="D20" s="16" t="s">
        <v>123</v>
      </c>
      <c r="E20" s="1" t="s">
        <v>39</v>
      </c>
      <c r="F20" s="2">
        <v>75</v>
      </c>
      <c r="G20" s="16" t="s">
        <v>17</v>
      </c>
      <c r="H20" s="15">
        <v>46062</v>
      </c>
      <c r="I20" s="14" t="s">
        <v>124</v>
      </c>
      <c r="J20" s="2">
        <v>6</v>
      </c>
      <c r="K20" s="1"/>
      <c r="L20" s="1" t="s">
        <v>125</v>
      </c>
    </row>
    <row r="21" spans="1:12" ht="15.75" customHeight="1">
      <c r="A21" s="2" t="s">
        <v>126</v>
      </c>
      <c r="B21" s="2" t="s">
        <v>127</v>
      </c>
      <c r="C21" s="2" t="s">
        <v>30</v>
      </c>
      <c r="D21" s="16" t="s">
        <v>128</v>
      </c>
      <c r="E21" s="2" t="s">
        <v>113</v>
      </c>
      <c r="F21" s="2">
        <v>75</v>
      </c>
      <c r="G21" s="16" t="s">
        <v>129</v>
      </c>
      <c r="H21" s="15">
        <v>46121</v>
      </c>
      <c r="I21" s="14" t="s">
        <v>130</v>
      </c>
      <c r="J21" s="2">
        <v>6</v>
      </c>
      <c r="K21" s="1"/>
      <c r="L21" s="1" t="s">
        <v>131</v>
      </c>
    </row>
    <row r="22" spans="1:12" ht="15.75" customHeight="1">
      <c r="A22" s="2" t="s">
        <v>132</v>
      </c>
      <c r="B22" s="1" t="s">
        <v>133</v>
      </c>
      <c r="C22" s="1" t="s">
        <v>134</v>
      </c>
      <c r="D22" s="2" t="s">
        <v>39</v>
      </c>
      <c r="E22" s="2" t="s">
        <v>135</v>
      </c>
      <c r="F22" s="2">
        <v>80</v>
      </c>
      <c r="G22" s="16" t="s">
        <v>17</v>
      </c>
      <c r="H22" s="17">
        <v>46212</v>
      </c>
      <c r="I22" s="18" t="s">
        <v>136</v>
      </c>
      <c r="J22" s="2">
        <v>7</v>
      </c>
      <c r="K22" s="2">
        <v>95</v>
      </c>
      <c r="L22" s="2" t="s">
        <v>137</v>
      </c>
    </row>
    <row r="23" spans="1:12">
      <c r="A23" s="2" t="s">
        <v>138</v>
      </c>
      <c r="B23" s="2" t="s">
        <v>139</v>
      </c>
      <c r="D23" s="2" t="s">
        <v>135</v>
      </c>
      <c r="E23" s="2" t="s">
        <v>140</v>
      </c>
      <c r="F23" s="2">
        <v>105</v>
      </c>
      <c r="G23" s="2" t="s">
        <v>17</v>
      </c>
      <c r="H23" s="2">
        <v>9</v>
      </c>
      <c r="I23" s="14" t="s">
        <v>141</v>
      </c>
      <c r="J23" s="2">
        <v>7</v>
      </c>
      <c r="L23" s="2" t="s">
        <v>142</v>
      </c>
    </row>
    <row r="36" spans="1:5" ht="13.2">
      <c r="A36" s="16"/>
      <c r="B36" s="16"/>
      <c r="C36" s="16"/>
      <c r="D36" s="16"/>
      <c r="E36" s="16"/>
    </row>
    <row r="37" spans="1:5" ht="13.2">
      <c r="A37" s="19"/>
      <c r="B37" s="15"/>
      <c r="C37" s="16"/>
      <c r="D37" s="16"/>
      <c r="E37" s="16"/>
    </row>
    <row r="38" spans="1:5" ht="13.2">
      <c r="A38" s="19"/>
      <c r="B38" s="15"/>
      <c r="C38" s="16"/>
      <c r="D38" s="16"/>
    </row>
    <row r="39" spans="1:5" ht="13.2">
      <c r="A39" s="19"/>
      <c r="D39" s="16"/>
    </row>
    <row r="40" spans="1:5" ht="13.2">
      <c r="A40" s="19"/>
      <c r="D40" s="16"/>
    </row>
  </sheetData>
  <hyperlinks>
    <hyperlink ref="I2" r:id="rId1" xr:uid="{00000000-0004-0000-0000-000000000000}"/>
    <hyperlink ref="I3" r:id="rId2" xr:uid="{00000000-0004-0000-0000-000001000000}"/>
    <hyperlink ref="I4" r:id="rId3" xr:uid="{00000000-0004-0000-0000-000002000000}"/>
    <hyperlink ref="I5" r:id="rId4" xr:uid="{00000000-0004-0000-0000-000003000000}"/>
    <hyperlink ref="I6" r:id="rId5" xr:uid="{00000000-0004-0000-0000-000004000000}"/>
    <hyperlink ref="I7" r:id="rId6" xr:uid="{00000000-0004-0000-0000-000005000000}"/>
    <hyperlink ref="I8" r:id="rId7" xr:uid="{00000000-0004-0000-0000-000006000000}"/>
    <hyperlink ref="I9" r:id="rId8" xr:uid="{00000000-0004-0000-0000-000007000000}"/>
    <hyperlink ref="I10" r:id="rId9" xr:uid="{00000000-0004-0000-0000-000008000000}"/>
    <hyperlink ref="I11" r:id="rId10" xr:uid="{00000000-0004-0000-0000-000009000000}"/>
    <hyperlink ref="I12" r:id="rId11" xr:uid="{00000000-0004-0000-0000-00000A000000}"/>
    <hyperlink ref="I13" r:id="rId12" xr:uid="{00000000-0004-0000-0000-00000B000000}"/>
    <hyperlink ref="I14" r:id="rId13" xr:uid="{00000000-0004-0000-0000-00000C000000}"/>
    <hyperlink ref="I15" r:id="rId14" xr:uid="{00000000-0004-0000-0000-00000D000000}"/>
    <hyperlink ref="I16" r:id="rId15" xr:uid="{00000000-0004-0000-0000-00000E000000}"/>
    <hyperlink ref="I17" r:id="rId16" xr:uid="{00000000-0004-0000-0000-00000F000000}"/>
    <hyperlink ref="I18" r:id="rId17" xr:uid="{00000000-0004-0000-0000-000010000000}"/>
    <hyperlink ref="I19" r:id="rId18" xr:uid="{00000000-0004-0000-0000-000011000000}"/>
    <hyperlink ref="I20" r:id="rId19" xr:uid="{00000000-0004-0000-0000-000012000000}"/>
    <hyperlink ref="I21" r:id="rId20" xr:uid="{00000000-0004-0000-0000-000013000000}"/>
    <hyperlink ref="I22" r:id="rId21" xr:uid="{00000000-0004-0000-0000-000014000000}"/>
    <hyperlink ref="I23" r:id="rId22" xr:uid="{00000000-0004-0000-0000-000015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14"/>
  <sheetViews>
    <sheetView tabSelected="1" workbookViewId="0">
      <selection activeCell="A25" sqref="A25"/>
    </sheetView>
  </sheetViews>
  <sheetFormatPr baseColWidth="10" defaultColWidth="12.6640625" defaultRowHeight="15.75" customHeight="1"/>
  <cols>
    <col min="1" max="1" width="20.88671875" bestFit="1" customWidth="1"/>
    <col min="2" max="2" width="14.6640625" customWidth="1"/>
    <col min="9" max="9" width="36.109375" customWidth="1"/>
    <col min="10" max="10" width="14.21875" customWidth="1"/>
    <col min="11" max="11" width="14.109375" customWidth="1"/>
    <col min="12" max="15" width="11.77734375" customWidth="1"/>
    <col min="16" max="16" width="166" customWidth="1"/>
  </cols>
  <sheetData>
    <row r="1" spans="1:16">
      <c r="A1" s="20" t="s">
        <v>0</v>
      </c>
      <c r="B1" s="20" t="s">
        <v>1</v>
      </c>
      <c r="C1" s="20" t="s">
        <v>2</v>
      </c>
      <c r="D1" s="20" t="s">
        <v>3</v>
      </c>
      <c r="E1" s="20" t="s">
        <v>4</v>
      </c>
      <c r="F1" s="20" t="s">
        <v>143</v>
      </c>
      <c r="G1" s="20" t="s">
        <v>6</v>
      </c>
      <c r="H1" s="20" t="s">
        <v>144</v>
      </c>
      <c r="I1" s="20" t="s">
        <v>8</v>
      </c>
      <c r="J1" s="20" t="s">
        <v>145</v>
      </c>
      <c r="K1" s="20" t="s">
        <v>146</v>
      </c>
      <c r="L1" s="20" t="s">
        <v>147</v>
      </c>
      <c r="M1" s="20" t="s">
        <v>148</v>
      </c>
      <c r="N1" s="20" t="s">
        <v>149</v>
      </c>
      <c r="O1" s="20" t="s">
        <v>150</v>
      </c>
      <c r="P1" s="20" t="s">
        <v>11</v>
      </c>
    </row>
    <row r="2" spans="1:16" ht="15.75" customHeight="1">
      <c r="A2" s="1" t="s">
        <v>151</v>
      </c>
      <c r="B2" s="1" t="s">
        <v>152</v>
      </c>
      <c r="C2" s="1" t="s">
        <v>30</v>
      </c>
      <c r="D2" s="1" t="s">
        <v>153</v>
      </c>
      <c r="E2" s="1" t="s">
        <v>39</v>
      </c>
      <c r="F2" s="3">
        <v>70</v>
      </c>
      <c r="G2" s="1" t="s">
        <v>17</v>
      </c>
      <c r="H2" s="3">
        <v>9</v>
      </c>
      <c r="I2" s="6" t="s">
        <v>154</v>
      </c>
      <c r="J2" s="21">
        <f t="shared" ref="J2:J13" si="0">AVERAGE(L2:O2)</f>
        <v>9.375</v>
      </c>
      <c r="K2" s="21">
        <f t="shared" ref="K2:K14" si="1">RANK(J2, $J$2:$J$22)</f>
        <v>2</v>
      </c>
      <c r="L2" s="2">
        <v>9.5</v>
      </c>
      <c r="M2" s="2">
        <v>10</v>
      </c>
      <c r="N2" s="2">
        <v>9</v>
      </c>
      <c r="O2" s="2">
        <v>9</v>
      </c>
      <c r="P2" s="2" t="s">
        <v>155</v>
      </c>
    </row>
    <row r="3" spans="1:16" ht="15.75" customHeight="1">
      <c r="A3" s="1" t="s">
        <v>156</v>
      </c>
      <c r="B3" s="1" t="s">
        <v>157</v>
      </c>
      <c r="C3" s="1" t="s">
        <v>30</v>
      </c>
      <c r="D3" s="1" t="s">
        <v>158</v>
      </c>
      <c r="E3" s="1" t="s">
        <v>39</v>
      </c>
      <c r="F3" s="3">
        <v>60</v>
      </c>
      <c r="G3" s="1" t="s">
        <v>17</v>
      </c>
      <c r="H3" s="4">
        <v>46150</v>
      </c>
      <c r="I3" s="6" t="s">
        <v>159</v>
      </c>
      <c r="J3" s="21">
        <f t="shared" si="0"/>
        <v>8.5</v>
      </c>
      <c r="K3" s="21">
        <f t="shared" si="1"/>
        <v>5</v>
      </c>
      <c r="L3" s="2">
        <v>9</v>
      </c>
      <c r="M3" s="2">
        <v>9</v>
      </c>
      <c r="N3" s="2">
        <v>9</v>
      </c>
      <c r="O3" s="2">
        <v>7</v>
      </c>
      <c r="P3" s="2" t="s">
        <v>160</v>
      </c>
    </row>
    <row r="4" spans="1:16" ht="15.75" customHeight="1">
      <c r="A4" s="1" t="s">
        <v>161</v>
      </c>
      <c r="B4" s="1" t="s">
        <v>21</v>
      </c>
      <c r="C4" s="1" t="s">
        <v>30</v>
      </c>
      <c r="D4" s="1" t="s">
        <v>31</v>
      </c>
      <c r="E4" s="1" t="s">
        <v>55</v>
      </c>
      <c r="F4" s="3">
        <v>120</v>
      </c>
      <c r="G4" s="1" t="s">
        <v>25</v>
      </c>
      <c r="H4" s="3">
        <v>9</v>
      </c>
      <c r="I4" s="6" t="s">
        <v>162</v>
      </c>
      <c r="J4" s="21">
        <f t="shared" si="0"/>
        <v>8.375</v>
      </c>
      <c r="K4" s="21">
        <f t="shared" si="1"/>
        <v>7</v>
      </c>
      <c r="L4" s="2">
        <v>8.5</v>
      </c>
      <c r="M4" s="2">
        <v>9</v>
      </c>
      <c r="N4" s="2">
        <v>8</v>
      </c>
      <c r="O4" s="2">
        <v>8</v>
      </c>
      <c r="P4" s="2" t="s">
        <v>163</v>
      </c>
    </row>
    <row r="5" spans="1:16" ht="15.75" customHeight="1">
      <c r="A5" s="1" t="s">
        <v>164</v>
      </c>
      <c r="B5" s="1" t="s">
        <v>165</v>
      </c>
      <c r="C5" s="1" t="s">
        <v>30</v>
      </c>
      <c r="D5" s="1" t="s">
        <v>166</v>
      </c>
      <c r="E5" s="1" t="s">
        <v>167</v>
      </c>
      <c r="F5" s="3">
        <v>60</v>
      </c>
      <c r="G5" s="1" t="s">
        <v>17</v>
      </c>
      <c r="H5" s="3">
        <v>8</v>
      </c>
      <c r="I5" s="6" t="s">
        <v>168</v>
      </c>
      <c r="J5" s="21">
        <f t="shared" si="0"/>
        <v>9.25</v>
      </c>
      <c r="K5" s="21">
        <f t="shared" si="1"/>
        <v>3</v>
      </c>
      <c r="L5" s="2">
        <v>9</v>
      </c>
      <c r="M5" s="2">
        <v>10</v>
      </c>
      <c r="N5" s="2">
        <v>8</v>
      </c>
      <c r="O5" s="2">
        <v>10</v>
      </c>
      <c r="P5" s="2" t="s">
        <v>169</v>
      </c>
    </row>
    <row r="6" spans="1:16" ht="15.75" customHeight="1">
      <c r="A6" s="1" t="s">
        <v>170</v>
      </c>
      <c r="B6" s="1" t="s">
        <v>171</v>
      </c>
      <c r="C6" s="1" t="s">
        <v>30</v>
      </c>
      <c r="D6" s="1" t="s">
        <v>172</v>
      </c>
      <c r="E6" s="1" t="s">
        <v>173</v>
      </c>
      <c r="F6" s="3">
        <v>90</v>
      </c>
      <c r="G6" s="1" t="s">
        <v>17</v>
      </c>
      <c r="H6" s="3">
        <v>9</v>
      </c>
      <c r="I6" s="9" t="s">
        <v>174</v>
      </c>
      <c r="J6" s="21">
        <f t="shared" si="0"/>
        <v>8.75</v>
      </c>
      <c r="K6" s="21">
        <f t="shared" si="1"/>
        <v>4</v>
      </c>
      <c r="L6" s="2">
        <v>9</v>
      </c>
      <c r="M6" s="2">
        <v>8</v>
      </c>
      <c r="N6" s="2">
        <v>9</v>
      </c>
      <c r="O6" s="2">
        <v>9</v>
      </c>
      <c r="P6" s="2" t="s">
        <v>175</v>
      </c>
    </row>
    <row r="7" spans="1:16" ht="15.75" customHeight="1">
      <c r="A7" s="1" t="s">
        <v>176</v>
      </c>
      <c r="B7" s="1" t="s">
        <v>165</v>
      </c>
      <c r="C7" s="1" t="s">
        <v>30</v>
      </c>
      <c r="D7" s="1" t="s">
        <v>177</v>
      </c>
      <c r="E7" s="1" t="s">
        <v>39</v>
      </c>
      <c r="F7" s="3">
        <v>90</v>
      </c>
      <c r="G7" s="1" t="s">
        <v>17</v>
      </c>
      <c r="H7" s="4">
        <v>46149</v>
      </c>
      <c r="I7" s="9" t="s">
        <v>178</v>
      </c>
      <c r="J7" s="21">
        <f t="shared" si="0"/>
        <v>8.25</v>
      </c>
      <c r="K7" s="21">
        <f t="shared" si="1"/>
        <v>8</v>
      </c>
      <c r="L7" s="2">
        <v>8</v>
      </c>
      <c r="M7" s="2">
        <v>9</v>
      </c>
      <c r="N7" s="2">
        <v>8</v>
      </c>
      <c r="O7" s="2">
        <v>8</v>
      </c>
      <c r="P7" s="2" t="s">
        <v>179</v>
      </c>
    </row>
    <row r="8" spans="1:16" ht="15.75" customHeight="1">
      <c r="A8" s="1" t="s">
        <v>180</v>
      </c>
      <c r="B8" s="1" t="s">
        <v>181</v>
      </c>
      <c r="C8" s="1" t="s">
        <v>30</v>
      </c>
      <c r="D8" s="1" t="s">
        <v>182</v>
      </c>
      <c r="E8" s="1" t="s">
        <v>113</v>
      </c>
      <c r="F8" s="3">
        <v>90</v>
      </c>
      <c r="G8" s="1" t="s">
        <v>17</v>
      </c>
      <c r="H8" s="4">
        <v>46150</v>
      </c>
      <c r="I8" s="9" t="s">
        <v>183</v>
      </c>
      <c r="J8" s="21">
        <f t="shared" si="0"/>
        <v>8</v>
      </c>
      <c r="K8" s="21">
        <f t="shared" si="1"/>
        <v>10</v>
      </c>
      <c r="L8" s="2">
        <v>8</v>
      </c>
      <c r="M8" s="2">
        <v>8</v>
      </c>
      <c r="N8" s="2">
        <v>7</v>
      </c>
      <c r="O8" s="2">
        <v>9</v>
      </c>
      <c r="P8" s="2" t="s">
        <v>184</v>
      </c>
    </row>
    <row r="9" spans="1:16" ht="15.75" customHeight="1">
      <c r="A9" s="1" t="s">
        <v>185</v>
      </c>
      <c r="B9" s="1" t="s">
        <v>133</v>
      </c>
      <c r="C9" s="1" t="s">
        <v>134</v>
      </c>
      <c r="D9" s="1" t="s">
        <v>186</v>
      </c>
      <c r="E9" s="1" t="s">
        <v>39</v>
      </c>
      <c r="F9" s="3">
        <v>80</v>
      </c>
      <c r="G9" s="1" t="s">
        <v>17</v>
      </c>
      <c r="H9" s="4">
        <v>46149</v>
      </c>
      <c r="I9" s="9" t="s">
        <v>187</v>
      </c>
      <c r="J9" s="21">
        <f t="shared" si="0"/>
        <v>8.5</v>
      </c>
      <c r="K9" s="21">
        <f t="shared" si="1"/>
        <v>5</v>
      </c>
      <c r="L9" s="2">
        <v>8</v>
      </c>
      <c r="M9" s="2">
        <v>9</v>
      </c>
      <c r="N9" s="2">
        <v>9</v>
      </c>
      <c r="O9" s="2">
        <v>8</v>
      </c>
      <c r="P9" s="2" t="s">
        <v>188</v>
      </c>
    </row>
    <row r="10" spans="1:16" ht="15.75" customHeight="1">
      <c r="A10" s="1" t="s">
        <v>189</v>
      </c>
      <c r="B10" s="1" t="s">
        <v>190</v>
      </c>
      <c r="C10" s="1" t="s">
        <v>30</v>
      </c>
      <c r="D10" s="1" t="s">
        <v>191</v>
      </c>
      <c r="E10" s="1" t="s">
        <v>192</v>
      </c>
      <c r="F10" s="3">
        <v>70</v>
      </c>
      <c r="G10" s="1" t="s">
        <v>25</v>
      </c>
      <c r="H10" s="4">
        <v>46149</v>
      </c>
      <c r="I10" s="9" t="s">
        <v>193</v>
      </c>
      <c r="J10" s="21">
        <f t="shared" si="0"/>
        <v>7.5</v>
      </c>
      <c r="K10" s="21">
        <f t="shared" si="1"/>
        <v>11</v>
      </c>
      <c r="L10" s="2">
        <v>7</v>
      </c>
      <c r="M10" s="2">
        <v>8</v>
      </c>
      <c r="N10" s="2">
        <v>7</v>
      </c>
      <c r="O10" s="2">
        <v>8</v>
      </c>
    </row>
    <row r="11" spans="1:16" ht="15.75" customHeight="1">
      <c r="A11" s="1" t="s">
        <v>194</v>
      </c>
      <c r="B11" s="1" t="s">
        <v>195</v>
      </c>
      <c r="C11" s="1" t="s">
        <v>30</v>
      </c>
      <c r="D11" s="1" t="s">
        <v>196</v>
      </c>
      <c r="E11" s="1" t="s">
        <v>197</v>
      </c>
      <c r="F11" s="3">
        <v>60</v>
      </c>
      <c r="G11" s="1" t="s">
        <v>17</v>
      </c>
      <c r="H11" s="4">
        <v>46148</v>
      </c>
      <c r="I11" s="9" t="s">
        <v>198</v>
      </c>
      <c r="J11" s="21">
        <f t="shared" si="0"/>
        <v>6.75</v>
      </c>
      <c r="K11" s="21">
        <f t="shared" si="1"/>
        <v>13</v>
      </c>
      <c r="L11" s="2">
        <v>7</v>
      </c>
      <c r="M11" s="2">
        <v>7</v>
      </c>
      <c r="N11" s="2">
        <v>7</v>
      </c>
      <c r="O11" s="2">
        <v>6</v>
      </c>
      <c r="P11" s="2" t="s">
        <v>199</v>
      </c>
    </row>
    <row r="12" spans="1:16">
      <c r="A12" s="2" t="s">
        <v>200</v>
      </c>
      <c r="B12" s="2" t="s">
        <v>201</v>
      </c>
      <c r="C12" s="2" t="s">
        <v>202</v>
      </c>
      <c r="D12" s="2" t="s">
        <v>203</v>
      </c>
      <c r="E12" s="2" t="s">
        <v>140</v>
      </c>
      <c r="F12" s="2">
        <v>75</v>
      </c>
      <c r="G12" s="2" t="s">
        <v>204</v>
      </c>
      <c r="H12" s="17">
        <v>46150</v>
      </c>
      <c r="I12" s="14" t="s">
        <v>205</v>
      </c>
      <c r="J12" s="21">
        <f t="shared" si="0"/>
        <v>8.125</v>
      </c>
      <c r="K12" s="21">
        <f t="shared" si="1"/>
        <v>9</v>
      </c>
      <c r="L12" s="2">
        <v>8</v>
      </c>
      <c r="M12" s="2">
        <v>8</v>
      </c>
      <c r="N12" s="2">
        <v>8</v>
      </c>
      <c r="O12" s="2">
        <v>8.5</v>
      </c>
      <c r="P12" s="2" t="s">
        <v>206</v>
      </c>
    </row>
    <row r="13" spans="1:16">
      <c r="A13" s="2" t="s">
        <v>207</v>
      </c>
      <c r="B13" s="2" t="s">
        <v>201</v>
      </c>
      <c r="C13" s="2" t="s">
        <v>202</v>
      </c>
      <c r="D13" s="2" t="s">
        <v>203</v>
      </c>
      <c r="E13" s="2" t="s">
        <v>140</v>
      </c>
      <c r="F13" s="2">
        <v>90</v>
      </c>
      <c r="G13" s="2" t="s">
        <v>204</v>
      </c>
      <c r="H13" s="17">
        <v>46150</v>
      </c>
      <c r="I13" s="14" t="s">
        <v>208</v>
      </c>
      <c r="J13" s="21">
        <f t="shared" si="0"/>
        <v>7.375</v>
      </c>
      <c r="K13" s="21">
        <f t="shared" si="1"/>
        <v>12</v>
      </c>
      <c r="L13" s="2">
        <v>7</v>
      </c>
      <c r="M13" s="2">
        <v>7.5</v>
      </c>
      <c r="N13" s="2">
        <v>7.5</v>
      </c>
      <c r="O13" s="2">
        <v>7.5</v>
      </c>
      <c r="P13" s="2" t="s">
        <v>209</v>
      </c>
    </row>
    <row r="14" spans="1:16" ht="15.75" customHeight="1">
      <c r="A14" s="1" t="s">
        <v>210</v>
      </c>
      <c r="B14" s="1" t="s">
        <v>211</v>
      </c>
      <c r="C14" s="1" t="s">
        <v>212</v>
      </c>
      <c r="D14" s="1" t="s">
        <v>113</v>
      </c>
      <c r="E14" s="1" t="s">
        <v>113</v>
      </c>
      <c r="F14" s="3">
        <v>360</v>
      </c>
      <c r="G14" s="1" t="s">
        <v>56</v>
      </c>
      <c r="H14" s="4">
        <v>10</v>
      </c>
      <c r="I14" s="22" t="s">
        <v>213</v>
      </c>
      <c r="J14">
        <v>10</v>
      </c>
      <c r="K14" s="21">
        <f t="shared" si="1"/>
        <v>1</v>
      </c>
      <c r="L14" s="2">
        <v>10</v>
      </c>
      <c r="M14" s="2">
        <v>10</v>
      </c>
      <c r="N14" s="2">
        <v>10</v>
      </c>
      <c r="O14" s="2">
        <v>10</v>
      </c>
      <c r="P14" s="23" t="s">
        <v>214</v>
      </c>
    </row>
  </sheetData>
  <hyperlinks>
    <hyperlink ref="I2" r:id="rId1" xr:uid="{00000000-0004-0000-0100-000000000000}"/>
    <hyperlink ref="I3" r:id="rId2" xr:uid="{00000000-0004-0000-0100-000001000000}"/>
    <hyperlink ref="I4" r:id="rId3" xr:uid="{00000000-0004-0000-0100-000002000000}"/>
    <hyperlink ref="I5" r:id="rId4" xr:uid="{00000000-0004-0000-0100-000003000000}"/>
    <hyperlink ref="I6" r:id="rId5" xr:uid="{00000000-0004-0000-0100-000004000000}"/>
    <hyperlink ref="I7" r:id="rId6" xr:uid="{00000000-0004-0000-0100-000005000000}"/>
    <hyperlink ref="I8" r:id="rId7" xr:uid="{00000000-0004-0000-0100-000006000000}"/>
    <hyperlink ref="I9" r:id="rId8" xr:uid="{00000000-0004-0000-0100-000007000000}"/>
    <hyperlink ref="I10" r:id="rId9" xr:uid="{00000000-0004-0000-0100-000008000000}"/>
    <hyperlink ref="I11" r:id="rId10" xr:uid="{00000000-0004-0000-0100-000009000000}"/>
    <hyperlink ref="I12" r:id="rId11" location="reserva-roomions" xr:uid="{00000000-0004-0000-0100-00000A000000}"/>
    <hyperlink ref="I13" r:id="rId12" xr:uid="{00000000-0004-0000-0100-00000B000000}"/>
    <hyperlink ref="I14" r:id="rId13" xr:uid="{E4DAB110-E83E-4DEC-A2CC-8650550F459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Pendientes</vt:lpstr>
      <vt:lpstr>Hechos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Isaac Borras Martinez</cp:lastModifiedBy>
  <dcterms:modified xsi:type="dcterms:W3CDTF">2026-05-12T19:03:17Z</dcterms:modified>
</cp:coreProperties>
</file>