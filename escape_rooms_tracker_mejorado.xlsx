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<sst xmlns="http://schemas.openxmlformats.org/spreadsheetml/2006/main" count="297" uniqueCount="209">
  <si>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</si>
  <si>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</si>
  <si>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</si>
  <si>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</si>
  <si>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</si>
  <si>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</si>
  <si>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</si>
  <si>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</si>
  <si>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</si>
  <si>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</si>
  <si>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</si>
  <si>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</si>
  <si>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</si>
  <si>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</si>
  <si>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</si>
  <si>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</si>
  <si>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</si>
  <si>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</si>
  <si>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</si>
  <si>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</si>
  <si>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</si>
  <si>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</si>
  <si>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</si>
  <si>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</si>
  <si>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</si>
  <si>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</si>
  <si>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</si>
  <si>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</si>
  <si>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</si>
  <si>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</si>
  <si>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</si>
  <si>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</si>
  <si>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</si>
  <si>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</si>
  <si>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</si>
  <si>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</si>
  <si>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</si>
  <si>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</si>
  <si>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</si>
  <si>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</si>
  <si>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</si>
  <si>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</si>
  <si>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</si>
  <si>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</si>
  <si>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</si>
  <si>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</si>
  <si>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</si>
  <si>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</si>
  <si>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</si>
  <si>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</si>
  <si>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</si>
  <si>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</si>
  <si>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</si>
  <si>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</si>
  <si>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</si>
  <si>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</si>
  <si>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</si>
  <si>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</si>
  <si>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</si>
  <si>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</si>
  <si>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</si>
  <si>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</si>
  <si>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</si>
  <si>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</si>
  <si>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</si>
  <si>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</si>
  <si>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</si>
  <si>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</si>
  <si>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</si>
  <si>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</si>
  <si>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</si>
  <si>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</si>
  <si>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</si>
  <si>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</si>
  <si>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</si>
  <si>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</si>
  <si>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</si>
  <si>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</si>
  <si>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</si>
  <si>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</si>
  <si>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</si>
  <si>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</si>
  <si>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</si>
  <si>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</si>
  <si>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</si>
  <si>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</si>
  <si>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</si>
  <si>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</si>
  <si>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</si>
  <si>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</si>
  <si>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</si>
  <si>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</si>
  <si>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</si>
  <si>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</si>
  <si>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</si>
  <si>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</si>
  <si>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</si>
  <si>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</si>
  <si>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</si>
  <si>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</si>
  <si>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</si>
  <si>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</si>
  <si>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</si>
  <si>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</si>
  <si>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</si>
  <si>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</si>
  <si>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</si>
  <si>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</si>
  <si>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</si>
  <si>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</si>
  <si>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</si>
  <si>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</si>
  <si>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</si>
  <si>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</si>
  <si>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</si>
  <si>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</si>
  <si>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</si>
  <si>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</si>
  <si>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</si>
  <si>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</si>
  <si>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</si>
  <si>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</si>
  <si>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</si>
  <si>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</si>
  <si>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</si>
  <si>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</si>
  <si>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</si>
  <si>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</si>
  <si>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</si>
  <si>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</si>
  <si>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</si>
  <si>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</si>
  <si>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</si>
  <si>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</si>
  <si>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</si>
  <si>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</si>
  <si>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</si>
  <si>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</si>
  <si>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Tao Room Escape</t>
  </si>
  <si>
    <t>Virus Games</t>
  </si>
  <si>
    <t>Calella</t>
  </si>
  <si>
    <t>Fiesta</t>
  </si>
  <si>
    <t>Avenura</t>
  </si>
  <si>
    <t>Media/Facil</t>
  </si>
  <si>
    <t>https://virusroomescape.com/es/escape-room-calella-tao/</t>
  </si>
  <si>
    <t>Habéis reservado un tratamiento exclusivo en el misterioso Tao Japanese Massage Center, pero al llegar… nada es lo que parece. Tras una extraña bienvenida, os adentráis en una experiencia sensorial con giros inesperados, enigmas envolventes y un ambiente que mezcla calma oriental con diversión creciente. Una sala original,  perfecta para quienes buscan algo diferente, elegante y sorprendente en Calella.</t>
  </si>
  <si>
    <t>Achijira</t>
  </si>
  <si>
    <t>Red Dopamine</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</si>
  <si>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</si>
  <si>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</si>
  <si>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</si>
  <si>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</si>
  <si>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</si>
  <si>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</si>
  <si>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</si>
  <si>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</si>
  <si>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</si>
  <si>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</si>
  <si>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</si>
  <si>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</si>
  <si>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</si>
  <si>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</si>
  <si>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</si>
  <si>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</si>
  <si>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</si>
  <si>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</si>
  <si>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</si>
  <si>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</si>
  <si>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</si>
  <si>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</si>
  <si>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</si>
  <si>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</si>
  <si>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</si>
  <si>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</si>
  <si>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</si>
  <si>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</si>
  <si>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</si>
  <si>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</si>
  <si>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</si>
  <si>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</si>
  <si>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</si>
  <si>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</si>
  <si>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</si>
  <si>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</si>
  <si>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</si>
  <si>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</si>
  <si>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</si>
  <si>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</si>
  <si>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</si>
  <si>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</si>
  <si>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</si>
  <si>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</si>
  <si>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</si>
  <si>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</si>
  <si>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</si>
  <si>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</si>
  <si>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</si>
  <si>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</si>
  <si>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</si>
  <si>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</si>
  <si>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</si>
  <si>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</si>
  <si>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</si>
  <si>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</si>
  <si>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</si>
  <si>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</si>
  <si>
    <t>Roomions</t>
  </si>
  <si>
    <t>https://virusroomescape.com/es/escape-room-calella-roomions/#reserva-roomions</t>
  </si>
  <si>
    <t>Hoy hemos probado el escape room de Roomions y la experiencia ha sido muy positiva. Fuimos dos adultos y dos niños (6 y 10 años) y el juego funcionó perfecto para todos. El pequeño, en su primer escape room, participó mucho y salió encantado. La mayor, con experiencia, también lo disfrutó mucho. Es un room de tamaño contenido (una sala y media), pero muy bien aprovechado: no paras en ningún momento y todo fluye. Mención especial al Game Master, Edu (Nefario Jr.), que lo hizo genial. Muy recomendable: familiar y muy divertido.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</si>
</sst>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164" xfId="0" applyFont="1" applyNumberFormat="1"/>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22" Type="http://schemas.openxmlformats.org/officeDocument/2006/relationships/hyperlink" Target="https://virusroomescape.com/es/escape-room-calella-tao/" TargetMode="External"/><Relationship Id="rId10" Type="http://schemas.openxmlformats.org/officeDocument/2006/relationships/hyperlink" Target="https://www.escapebarcelona.com/jurassic-land.php" TargetMode="External"/><Relationship Id="rId21" Type="http://schemas.openxmlformats.org/officeDocument/2006/relationships/hyperlink" Target="https://www.kadabraescape.com/reserva-2/" TargetMode="External"/><Relationship Id="rId13" Type="http://schemas.openxmlformats.org/officeDocument/2006/relationships/hyperlink" Target="https://www.escapebarcelona.com/tomb-hunter-la-leyenda-de-akasha.php" TargetMode="External"/><Relationship Id="rId24" Type="http://schemas.openxmlformats.org/officeDocument/2006/relationships/drawing" Target="../drawings/drawing1.xml"/><Relationship Id="rId12" Type="http://schemas.openxmlformats.org/officeDocument/2006/relationships/hyperlink" Target="https://vortexescape.com/reservar-ahora" TargetMode="External"/><Relationship Id="rId23" Type="http://schemas.openxmlformats.org/officeDocument/2006/relationships/hyperlink" Target="https://www.reddopamine.com/landing-misterio-achiji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virusroomescape.com/es/escape-room-calella-roomions/" TargetMode="External"/><Relationship Id="rId10" Type="http://schemas.openxmlformats.org/officeDocument/2006/relationships/hyperlink" Target="https://www.missionleak.com/bankofthaqar" TargetMode="External"/><Relationship Id="rId12" Type="http://schemas.openxmlformats.org/officeDocument/2006/relationships/drawing" Target="../drawings/drawing2.xm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61.75"/>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12.0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24">
      <c r="A24" s="2" t="s">
        <v>138</v>
      </c>
      <c r="B24" s="2" t="s">
        <v>139</v>
      </c>
      <c r="C24" s="2" t="s">
        <v>140</v>
      </c>
      <c r="D24" s="2" t="s">
        <v>141</v>
      </c>
      <c r="E24" s="2" t="s">
        <v>142</v>
      </c>
      <c r="F24" s="2">
        <v>90.0</v>
      </c>
      <c r="G24" s="2" t="s">
        <v>143</v>
      </c>
      <c r="H24" s="17">
        <v>46150.0</v>
      </c>
      <c r="I24" s="14" t="s">
        <v>144</v>
      </c>
      <c r="J24" s="2">
        <v>8.0</v>
      </c>
      <c r="L24" s="2" t="s">
        <v>145</v>
      </c>
    </row>
    <row r="25">
      <c r="A25" s="2" t="s">
        <v>146</v>
      </c>
      <c r="B25" s="2" t="s">
        <v>147</v>
      </c>
      <c r="D25" s="2" t="s">
        <v>135</v>
      </c>
      <c r="E25" s="2" t="s">
        <v>142</v>
      </c>
      <c r="F25" s="2">
        <v>105.0</v>
      </c>
      <c r="G25" s="2" t="s">
        <v>17</v>
      </c>
      <c r="H25" s="2">
        <v>9.0</v>
      </c>
      <c r="I25" s="14" t="s">
        <v>148</v>
      </c>
      <c r="J25" s="2">
        <v>7.0</v>
      </c>
      <c r="L25" s="2" t="s">
        <v>149</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4"/>
    <hyperlink r:id="rId23" ref="I25"/>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150</v>
      </c>
      <c r="G1" s="20" t="s">
        <v>6</v>
      </c>
      <c r="H1" s="20" t="s">
        <v>151</v>
      </c>
      <c r="I1" s="20" t="s">
        <v>8</v>
      </c>
      <c r="J1" s="20" t="s">
        <v>152</v>
      </c>
      <c r="K1" s="20" t="s">
        <v>153</v>
      </c>
      <c r="L1" s="20" t="s">
        <v>154</v>
      </c>
      <c r="M1" s="20" t="s">
        <v>155</v>
      </c>
      <c r="N1" s="20" t="s">
        <v>156</v>
      </c>
      <c r="O1" s="20" t="s">
        <v>157</v>
      </c>
      <c r="P1" s="20" t="s">
        <v>11</v>
      </c>
    </row>
    <row r="2">
      <c r="A2" s="1" t="s">
        <v>158</v>
      </c>
      <c r="B2" s="1" t="s">
        <v>159</v>
      </c>
      <c r="C2" s="1" t="s">
        <v>30</v>
      </c>
      <c r="D2" s="1" t="s">
        <v>160</v>
      </c>
      <c r="E2" s="1" t="s">
        <v>39</v>
      </c>
      <c r="F2" s="3">
        <v>70.0</v>
      </c>
      <c r="G2" s="1" t="s">
        <v>17</v>
      </c>
      <c r="H2" s="3">
        <v>9.0</v>
      </c>
      <c r="I2" s="6" t="s">
        <v>161</v>
      </c>
      <c r="J2" s="21">
        <f t="shared" ref="J2:J3" si="1">AVERAGE(L2:O2)</f>
        <v>11544.75</v>
      </c>
      <c r="K2" s="22">
        <f t="shared" ref="K2:K12" si="2">RANK(J2, $J$2:$J$22)</f>
        <v>1</v>
      </c>
      <c r="L2" s="17">
        <v>46151.0</v>
      </c>
      <c r="M2" s="2">
        <v>10.0</v>
      </c>
      <c r="N2" s="2">
        <v>9.0</v>
      </c>
      <c r="O2" s="2">
        <v>9.0</v>
      </c>
      <c r="P2" s="2" t="s">
        <v>162</v>
      </c>
    </row>
    <row r="3">
      <c r="A3" s="1" t="s">
        <v>163</v>
      </c>
      <c r="B3" s="1" t="s">
        <v>164</v>
      </c>
      <c r="C3" s="1" t="s">
        <v>30</v>
      </c>
      <c r="D3" s="1" t="s">
        <v>165</v>
      </c>
      <c r="E3" s="1" t="s">
        <v>39</v>
      </c>
      <c r="F3" s="3">
        <v>60.0</v>
      </c>
      <c r="G3" s="1" t="s">
        <v>17</v>
      </c>
      <c r="H3" s="4">
        <v>46150.0</v>
      </c>
      <c r="I3" s="6" t="s">
        <v>166</v>
      </c>
      <c r="J3" s="22">
        <f t="shared" si="1"/>
        <v>8.5</v>
      </c>
      <c r="K3" s="22">
        <f t="shared" si="2"/>
        <v>4</v>
      </c>
      <c r="L3" s="2">
        <v>9.0</v>
      </c>
      <c r="M3" s="2">
        <v>9.0</v>
      </c>
      <c r="N3" s="2">
        <v>9.0</v>
      </c>
      <c r="O3" s="2">
        <v>7.0</v>
      </c>
      <c r="P3" s="2" t="s">
        <v>167</v>
      </c>
    </row>
    <row r="4">
      <c r="A4" s="1" t="s">
        <v>168</v>
      </c>
      <c r="B4" s="1" t="s">
        <v>21</v>
      </c>
      <c r="C4" s="1" t="s">
        <v>30</v>
      </c>
      <c r="D4" s="1" t="s">
        <v>31</v>
      </c>
      <c r="E4" s="1" t="s">
        <v>55</v>
      </c>
      <c r="F4" s="3">
        <v>75.0</v>
      </c>
      <c r="G4" s="1" t="s">
        <v>25</v>
      </c>
      <c r="H4" s="3">
        <v>9.0</v>
      </c>
      <c r="I4" s="6" t="s">
        <v>169</v>
      </c>
      <c r="J4" s="1">
        <v>0.0</v>
      </c>
      <c r="K4" s="22">
        <f t="shared" si="2"/>
        <v>11</v>
      </c>
    </row>
    <row r="5">
      <c r="A5" s="1" t="s">
        <v>170</v>
      </c>
      <c r="B5" s="1" t="s">
        <v>171</v>
      </c>
      <c r="C5" s="1" t="s">
        <v>30</v>
      </c>
      <c r="D5" s="1" t="s">
        <v>172</v>
      </c>
      <c r="E5" s="1" t="s">
        <v>173</v>
      </c>
      <c r="F5" s="3">
        <v>60.0</v>
      </c>
      <c r="G5" s="1" t="s">
        <v>17</v>
      </c>
      <c r="H5" s="3">
        <v>8.0</v>
      </c>
      <c r="I5" s="6" t="s">
        <v>174</v>
      </c>
      <c r="J5" s="22">
        <f t="shared" ref="J5:J11" si="3">AVERAGE(L5:O5)</f>
        <v>9.25</v>
      </c>
      <c r="K5" s="22">
        <f t="shared" si="2"/>
        <v>2</v>
      </c>
      <c r="L5" s="2">
        <v>9.0</v>
      </c>
      <c r="M5" s="2">
        <v>10.0</v>
      </c>
      <c r="N5" s="2">
        <v>8.0</v>
      </c>
      <c r="O5" s="2">
        <v>10.0</v>
      </c>
      <c r="P5" s="2" t="s">
        <v>175</v>
      </c>
    </row>
    <row r="6">
      <c r="A6" s="1" t="s">
        <v>176</v>
      </c>
      <c r="B6" s="1" t="s">
        <v>177</v>
      </c>
      <c r="C6" s="1" t="s">
        <v>30</v>
      </c>
      <c r="D6" s="1" t="s">
        <v>178</v>
      </c>
      <c r="E6" s="1" t="s">
        <v>179</v>
      </c>
      <c r="F6" s="3">
        <v>90.0</v>
      </c>
      <c r="G6" s="1" t="s">
        <v>17</v>
      </c>
      <c r="H6" s="3">
        <v>9.0</v>
      </c>
      <c r="I6" s="9" t="s">
        <v>180</v>
      </c>
      <c r="J6" s="22">
        <f t="shared" si="3"/>
        <v>8.75</v>
      </c>
      <c r="K6" s="22">
        <f t="shared" si="2"/>
        <v>3</v>
      </c>
      <c r="L6" s="2">
        <v>9.0</v>
      </c>
      <c r="M6" s="2">
        <v>8.0</v>
      </c>
      <c r="N6" s="2">
        <v>9.0</v>
      </c>
      <c r="O6" s="2">
        <v>9.0</v>
      </c>
      <c r="P6" s="2" t="s">
        <v>181</v>
      </c>
    </row>
    <row r="7">
      <c r="A7" s="1" t="s">
        <v>182</v>
      </c>
      <c r="B7" s="1" t="s">
        <v>171</v>
      </c>
      <c r="C7" s="1" t="s">
        <v>30</v>
      </c>
      <c r="D7" s="1" t="s">
        <v>183</v>
      </c>
      <c r="E7" s="1" t="s">
        <v>39</v>
      </c>
      <c r="F7" s="3">
        <v>90.0</v>
      </c>
      <c r="G7" s="1" t="s">
        <v>17</v>
      </c>
      <c r="H7" s="4">
        <v>46149.0</v>
      </c>
      <c r="I7" s="9" t="s">
        <v>184</v>
      </c>
      <c r="J7" s="22">
        <f t="shared" si="3"/>
        <v>8.25</v>
      </c>
      <c r="K7" s="22">
        <f t="shared" si="2"/>
        <v>6</v>
      </c>
      <c r="L7" s="2">
        <v>8.0</v>
      </c>
      <c r="M7" s="2">
        <v>9.0</v>
      </c>
      <c r="N7" s="2">
        <v>8.0</v>
      </c>
      <c r="O7" s="2">
        <v>8.0</v>
      </c>
      <c r="P7" s="2" t="s">
        <v>185</v>
      </c>
    </row>
    <row r="8">
      <c r="A8" s="1" t="s">
        <v>186</v>
      </c>
      <c r="B8" s="1" t="s">
        <v>187</v>
      </c>
      <c r="C8" s="1" t="s">
        <v>30</v>
      </c>
      <c r="D8" s="1" t="s">
        <v>188</v>
      </c>
      <c r="E8" s="1" t="s">
        <v>113</v>
      </c>
      <c r="F8" s="3">
        <v>90.0</v>
      </c>
      <c r="G8" s="1" t="s">
        <v>17</v>
      </c>
      <c r="H8" s="4">
        <v>46150.0</v>
      </c>
      <c r="I8" s="9" t="s">
        <v>189</v>
      </c>
      <c r="J8" s="22">
        <f t="shared" si="3"/>
        <v>8</v>
      </c>
      <c r="K8" s="22">
        <f t="shared" si="2"/>
        <v>7</v>
      </c>
      <c r="L8" s="2">
        <v>8.0</v>
      </c>
      <c r="M8" s="2">
        <v>8.0</v>
      </c>
      <c r="N8" s="2">
        <v>7.0</v>
      </c>
      <c r="O8" s="2">
        <v>9.0</v>
      </c>
      <c r="P8" s="2" t="s">
        <v>190</v>
      </c>
    </row>
    <row r="9">
      <c r="A9" s="1" t="s">
        <v>191</v>
      </c>
      <c r="B9" s="1" t="s">
        <v>133</v>
      </c>
      <c r="C9" s="1" t="s">
        <v>134</v>
      </c>
      <c r="D9" s="1" t="s">
        <v>192</v>
      </c>
      <c r="E9" s="1" t="s">
        <v>39</v>
      </c>
      <c r="F9" s="3">
        <v>80.0</v>
      </c>
      <c r="G9" s="1" t="s">
        <v>17</v>
      </c>
      <c r="H9" s="4">
        <v>46149.0</v>
      </c>
      <c r="I9" s="9" t="s">
        <v>193</v>
      </c>
      <c r="J9" s="22">
        <f t="shared" si="3"/>
        <v>8.5</v>
      </c>
      <c r="K9" s="22">
        <f t="shared" si="2"/>
        <v>4</v>
      </c>
      <c r="L9" s="2">
        <v>8.0</v>
      </c>
      <c r="M9" s="2">
        <v>9.0</v>
      </c>
      <c r="N9" s="2">
        <v>9.0</v>
      </c>
      <c r="O9" s="2">
        <v>8.0</v>
      </c>
      <c r="P9" s="2" t="s">
        <v>194</v>
      </c>
    </row>
    <row r="10">
      <c r="A10" s="1" t="s">
        <v>195</v>
      </c>
      <c r="B10" s="1" t="s">
        <v>196</v>
      </c>
      <c r="C10" s="1" t="s">
        <v>30</v>
      </c>
      <c r="D10" s="1" t="s">
        <v>197</v>
      </c>
      <c r="E10" s="1" t="s">
        <v>198</v>
      </c>
      <c r="F10" s="3">
        <v>70.0</v>
      </c>
      <c r="G10" s="1" t="s">
        <v>25</v>
      </c>
      <c r="H10" s="4">
        <v>46149.0</v>
      </c>
      <c r="I10" s="9" t="s">
        <v>199</v>
      </c>
      <c r="J10" s="22">
        <f t="shared" si="3"/>
        <v>7.5</v>
      </c>
      <c r="K10" s="22">
        <f t="shared" si="2"/>
        <v>9</v>
      </c>
      <c r="L10" s="2">
        <v>7.0</v>
      </c>
      <c r="M10" s="2">
        <v>8.0</v>
      </c>
      <c r="N10" s="2">
        <v>7.0</v>
      </c>
      <c r="O10" s="2">
        <v>8.0</v>
      </c>
    </row>
    <row r="11">
      <c r="A11" s="1" t="s">
        <v>200</v>
      </c>
      <c r="B11" s="1" t="s">
        <v>201</v>
      </c>
      <c r="C11" s="1" t="s">
        <v>30</v>
      </c>
      <c r="D11" s="1" t="s">
        <v>202</v>
      </c>
      <c r="E11" s="1" t="s">
        <v>203</v>
      </c>
      <c r="F11" s="3">
        <v>60.0</v>
      </c>
      <c r="G11" s="1" t="s">
        <v>17</v>
      </c>
      <c r="H11" s="4">
        <v>46148.0</v>
      </c>
      <c r="I11" s="9" t="s">
        <v>204</v>
      </c>
      <c r="J11" s="22">
        <f t="shared" si="3"/>
        <v>6.75</v>
      </c>
      <c r="K11" s="22">
        <f t="shared" si="2"/>
        <v>10</v>
      </c>
      <c r="L11" s="2">
        <v>7.0</v>
      </c>
      <c r="M11" s="2">
        <v>7.0</v>
      </c>
      <c r="N11" s="2">
        <v>7.0</v>
      </c>
      <c r="O11" s="2">
        <v>6.0</v>
      </c>
      <c r="P11" s="2" t="s">
        <v>205</v>
      </c>
    </row>
    <row r="12">
      <c r="A12" s="2" t="s">
        <v>206</v>
      </c>
      <c r="B12" s="2" t="s">
        <v>139</v>
      </c>
      <c r="C12" s="2" t="s">
        <v>140</v>
      </c>
      <c r="D12" s="2" t="s">
        <v>141</v>
      </c>
      <c r="E12" s="2" t="s">
        <v>142</v>
      </c>
      <c r="F12" s="2">
        <v>75.0</v>
      </c>
      <c r="G12" s="2" t="s">
        <v>143</v>
      </c>
      <c r="H12" s="17">
        <v>46150.0</v>
      </c>
      <c r="I12" s="14" t="s">
        <v>207</v>
      </c>
      <c r="J12" s="2">
        <v>8.0</v>
      </c>
      <c r="K12" s="22">
        <f t="shared" si="2"/>
        <v>7</v>
      </c>
      <c r="L12" s="2">
        <v>8.0</v>
      </c>
      <c r="M12" s="17">
        <v>46150.0</v>
      </c>
      <c r="N12" s="2">
        <v>8.0</v>
      </c>
      <c r="O12" s="17">
        <v>46150.0</v>
      </c>
      <c r="P12" s="2" t="s">
        <v>208</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location="reserva-roomions" ref="I12"/>
  </hyperlinks>
  <drawing r:id="rId12"/>
</worksheet>
</file>