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<sst xmlns="http://schemas.openxmlformats.org/spreadsheetml/2006/main" count="240" uniqueCount="170">
  <si>
    <t>Nombre del Escape</t>
  </si>
  <si>
    <t>Empresa</t>
  </si>
  <si>
    <t>Ciudad</t>
  </si>
  <si>
    <t>Temática</t>
  </si>
  <si>
    <t>Tipo</t>
  </si>
  <si>
    <t>Duración</t>
  </si>
  <si>
    <t>Dificultad</t>
  </si>
  <si>
    <t>Valoración</t>
  </si>
  <si>
    <t>Web</t>
  </si>
  <si>
    <t>Max_personas</t>
  </si>
  <si>
    <t>Descripción</t>
  </si>
  <si>
    <t>Enlace Web</t>
  </si>
  <si>
    <t>Willy el Tuerto</t>
  </si>
  <si>
    <t>Willy el Tuerto Escape Room</t>
  </si>
  <si>
    <t>Sabadell</t>
  </si>
  <si>
    <t>Piratas / tesoro</t>
  </si>
  <si>
    <t>Aventura inmersiva</t>
  </si>
  <si>
    <t>Media</t>
  </si>
  <si>
    <t>https://willyeltuertoescaperoom.com/</t>
  </si>
  <si>
    <t>Una aventura pirata de película donde te sumerges en la búsqueda del tesoro de uno de los piratas más famosos. Destaca por su escenografía espectacular que recuerda a atracciones temáticas de grandes parques.</t>
  </si>
  <si>
    <t>Cybercity 2049</t>
  </si>
  <si>
    <t>Escape Barcelona</t>
  </si>
  <si>
    <t>Santa Coloma de Gramenet</t>
  </si>
  <si>
    <t>Cyberpunk / futurista</t>
  </si>
  <si>
    <t>Tecnológico inmersivo</t>
  </si>
  <si>
    <t>Media-Alta</t>
  </si>
  <si>
    <t>https://www.escapebarcelona.com/cybercity-2049.php</t>
  </si>
  <si>
    <t>Experiencia de estilo Cyberpunk inspirada en clásicos como Blade Runner o Matrix. Te traslada a un mundo decadente y futurista donde la toma de decisiones y la inmersión son los pilares centrales.</t>
  </si>
  <si>
    <t>Exodus</t>
  </si>
  <si>
    <t>Elements Escape Room</t>
  </si>
  <si>
    <t>Barcelona</t>
  </si>
  <si>
    <t>Ciencia ficción</t>
  </si>
  <si>
    <t>Aventura tecnológica</t>
  </si>
  <si>
    <t>https://www.elementsescaperoom.com/exodus/</t>
  </si>
  <si>
    <t>Una odisea de ciencia ficción post-apocalíptica en la que la humanidad debe abandonar la Tierra tras un virus global. Es muy valorada por su narrativa, el papel del Game Master y su ambientación "calma-tensa".</t>
  </si>
  <si>
    <t>La Mina</t>
  </si>
  <si>
    <t>Unreal Room Escape</t>
  </si>
  <si>
    <t>L'Hospitalet de Llobregat</t>
  </si>
  <si>
    <t>Exploración minera</t>
  </si>
  <si>
    <t>Aventura</t>
  </si>
  <si>
    <t>https://unrealroomescape.es/</t>
  </si>
  <si>
    <t>Ambientada en la centenaria Mina de St. Louis, donde los jugadores deben investigar una extraña fuente de minerales tras una explosión. Es una sala clásica de aventura con una ambientación minera muy lograda.</t>
  </si>
  <si>
    <t>Distrito 111</t>
  </si>
  <si>
    <t>Espionaje / conspiración</t>
  </si>
  <si>
    <t>9.0</t>
  </si>
  <si>
    <t>https://escapeup.es/escape-room/unreal/barcelona/distrito-111/</t>
  </si>
  <si>
    <t>Un thriller de supervivencia en un mundo al borde del colapso total. Con una atmósfera de cine y estética post-apocalíptica, los jugadores deben cumplir una misión crítica en un entorno hostil y caótico.</t>
  </si>
  <si>
    <t>https://ilusiumroomescape.es/</t>
  </si>
  <si>
    <t>Room Angie</t>
  </si>
  <si>
    <t>Ilusium Room Escape</t>
  </si>
  <si>
    <t>Thriller / misterio</t>
  </si>
  <si>
    <t>Narrativo</t>
  </si>
  <si>
    <t>Un misterio trepidante de 80 minutos donde el trabajo en equipo es vital. Los jugadores deben resolver enigmas y acertijos para completar una misión de la que solo podrán salir "gritando su nombre tres veces".</t>
  </si>
  <si>
    <t>Enterprise</t>
  </si>
  <si>
    <t>Abduction Escape Rooms</t>
  </si>
  <si>
    <t>Badalona</t>
  </si>
  <si>
    <t>Nave espacial / sci-fi</t>
  </si>
  <si>
    <t>Tecnológico</t>
  </si>
  <si>
    <t>Alta</t>
  </si>
  <si>
    <t>https://www.abduction.es/badalona/abduction4.html</t>
  </si>
  <si>
    <t>Una aventura tecnológica ambientada en una nave espacial. Destaca por requerir agilidad física y por integrar tecnología avanzada en sus puzzles, alejándose de los candados tradicionales para ofrecer una experiencia de adrenalina.</t>
  </si>
  <si>
    <t>Awaken</t>
  </si>
  <si>
    <t>Enigma Room Escape</t>
  </si>
  <si>
    <t>Fantasía / magia</t>
  </si>
  <si>
    <t>https://www.reddopamine.com/landing-aventura</t>
  </si>
  <si>
    <t>Una experiencia inmersiva que mezcla fantasía y magia. Los jugadores se convierten en protagonistas de una "película" donde el ingenio es la clave para superar pruebas diseñadas para fomentar la adrenalina y el trabajo en equipo.</t>
  </si>
  <si>
    <t>The Exam</t>
  </si>
  <si>
    <t>Abduction</t>
  </si>
  <si>
    <t>Thriller psicológico</t>
  </si>
  <si>
    <t>Misterio / tensión</t>
  </si>
  <si>
    <t>https://www.abduction.es/badalona/abduction3.html</t>
  </si>
  <si>
    <t>Un test de acción y aventura que pone a prueba tanto la mente como la agilidad física (subir escaleras, trepar). Es un juego dinámico y divertido, diseñado para que los adultos vuelvan a sentirse como niños.</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</si>
  <si>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</si>
  <si>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</si>
  <si>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</si>
  <si>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</si>
  <si>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</si>
  <si>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</si>
  <si>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</si>
  <si>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</si>
  <si>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</si>
  <si>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</si>
  <si>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</si>
  <si>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</si>
  <si>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</si>
  <si>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</si>
  <si>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</si>
  <si>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</si>
  <si>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</si>
  <si>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</si>
  <si>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</si>
  <si>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</si>
  <si>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</si>
  <si>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</si>
  <si>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</si>
  <si>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</si>
  <si>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</si>
  <si>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</si>
  <si>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</si>
  <si>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</si>
  <si>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</si>
  <si>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</si>
  <si>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</si>
  <si>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</si>
  <si>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</si>
  <si>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</si>
  <si>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</si>
  <si>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</si>
  <si>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</si>
  <si>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</si>
  <si>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</si>
  <si>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</si>
  <si>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</si>
  <si>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</si>
  <si>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</si>
  <si>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</si>
  <si>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</si>
  <si>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</si>
  <si>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</si>
  <si>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</si>
  <si>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</si>
  <si>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</si>
  <si>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</si>
  <si>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con una estética Steampunk y victoriana impecable (niebla, olores y texturas de primer nivel). Jugada por 3 adultos y 2 niñas de 10 años en modo Tensión, resultó una experiencia redonda: las niñas fliparon desde la primera sala y el trato del Game Master fue excelente y muy cordial. Los puzzles de nueva generación están totalmente integrados en la trama, logrando un flujo de juego magnífico sin candados forzados. Una joya visual y narrativa que, gracias a su ambientación única, encantó a todo el grupo por igual.</t>
  </si>
  <si>
    <t>La Taberna</t>
  </si>
  <si>
    <t>The City Escape</t>
  </si>
  <si>
    <t>Piratas</t>
  </si>
  <si>
    <t>https://thecityescape.com/</t>
  </si>
  <si>
    <t>Aventura de alta inmersión que inicia en una taberna hiperrealista donde la interacción con el entorno y el roleo son la clave. Destaca por una escenografía brutal en la mayoría de sus salas, logrando que el equipo (3 adultos y 2 niñas de 9 años) se sienta realmente dentro de una película de fantasía. Aunque el arranque es muy original y los enigmas mecánicos están integrados, nuestra experiencia con el acting de la Game Master Tabernera no nos terminó de impactar y algún puzzle se nos hizo complicado, perdiendo fluidez en ciertos momentos. A pesar de ello, se mantiene sin duda como uno de los mejores escapes a nivel español por su despliegue visual.</t>
  </si>
  <si>
    <t>K.O.N.G. Protocol</t>
  </si>
  <si>
    <t>https://escapebarcelona.com/</t>
  </si>
  <si>
    <t>Jurásico</t>
  </si>
  <si>
    <t>Golden Pop</t>
  </si>
  <si>
    <t>Dinosaurios</t>
  </si>
  <si>
    <t>Aventura familiar</t>
  </si>
  <si>
    <t>https://goldenpop.es/jurasico/</t>
  </si>
  <si>
    <t>Espectáculo visual y sensorial que recrea una selva hiperrealista bajo el centro de Barcelona. Una aventura de 120 minutos cargada de nostalgia, con una escenografía cinematográfica y efectos de sonido potentes. Jugado por 4 adultos y una niña de 9 años, destacamos el excelente acting inicial; el impacto del Game Master sobre la peque fue muy bueno y lo recuerda con mucho cariño. Es un escape dinámico con separación del grupo y una gran cantidad de juegos que garantiza que no haya momentos de parón. Ve preparado para gatear y ensuciarte con un poco de barro, ya que la vegetación se tiene que mantener. Una experiencia de 'nueva generación' de las más potentes del panorama actual.</t>
  </si>
  <si>
    <t>WHITECHAPEL</t>
  </si>
  <si>
    <t>Room Whitechapel</t>
  </si>
  <si>
    <t>Jack el Destripador</t>
  </si>
  <si>
    <t>Terror / Inmersivo</t>
  </si>
  <si>
    <t>https://www.roomwhitechapel.com/</t>
  </si>
  <si>
    <t>Un viaje asfixiante al Londres de Jack el Destripador con una de las ambientaciones más envolventes y lúgubres de Barcelona. Jugado por 6 adultos en modo Terror (también disponible en modo Aventura), resultó ser una experiencia de una intensidad arrolladora. A pesar de ser un grupo numeroso, nunca estuvimos parados, gracias a un diseño de 'calles' oscuras y laberínticas que mantiene la tensión constante. Destaca por un acting magistral y un contacto físico con los personajes que eleva la adrenalina al máximo. Una experiencia puramente cinematográfica que se sitúa, sin duda, en el top de los escapes de terror realizados.</t>
  </si>
  <si>
    <t>Catacumbas</t>
  </si>
  <si>
    <t>Alquimia / Aventuras</t>
  </si>
  <si>
    <t>https://goldenpop.es/juegos/catacumbas/</t>
  </si>
  <si>
    <t>Aventura épica inspirada en el universo de Indiana Jones que ofrece una de las puestas en escena más espectaculares de la ciudad. Jugada por 4 adultos y una niña de 9 años, resultó ser una experiencia increíble con pasadizos, puertas y salas totalmente inesperados. Destaca por sus más de 200 m² de decorados hiperrealistas y pruebas directamente basadas en las películas, logrando una atmósfera de expedición arqueológica total. Los enigmas están magistralmente integrados, priorizando mecanismos electrónicos y un trabajo cooperativo que mantiene la adrenalina alta sin necesidad de terror. Una experiencia de exploración pura donde las transiciones entre zonas dejan al grupo boquiabierto.</t>
  </si>
  <si>
    <t>Exorcista</t>
  </si>
  <si>
    <t xml:space="preserve">Terror Stories </t>
  </si>
  <si>
    <t>Exorcismo / Posesión</t>
  </si>
  <si>
    <t>Terror</t>
  </si>
  <si>
    <t>https://terrorstories.com/barcelona/exorcista-escape-room</t>
  </si>
  <si>
    <t>Homenaje visceral y cinematográfico al clásico del cine de posesiones. Jugado por 5 adultos en modo Terror (disponible también modo Aventura), resultó una experiencia de una intensidad asombrosa, aunque el espacio puede sentirse algo justo para un grupo de cinco. Destaca por una ambientación lúgubre y opresiva con efectos visuales y sonoros que recrean fenómenos paranormales impactantes. El punto más fuerte es el acting increíble de los Game Masters, con una mención especial a la interpretación de 'la niña', posiblemente la mejor actuación vista jamás en un escape room. Incluye dinámicas de separación total del grupo, dejando a los jugadores solos en momentos puntuales de máxima vulnerabilidad. Una pesadilla real con una puesta en escena inolvidable.</t>
  </si>
  <si>
    <t>Jaipur</t>
  </si>
  <si>
    <t>Kadabra</t>
  </si>
  <si>
    <t>Mataró</t>
  </si>
  <si>
    <t>Bollywood / India</t>
  </si>
  <si>
    <t>https://www.kadabraescape.com/el-secreto-de-jaipur/</t>
  </si>
  <si>
    <t>Fantasía pura y colorista inspirada en el folclore de la India que rompe con la estética lúgubre tradicional. Jugado por 3 adultos y 3 niñas de 10-11 años, resultó una experiencia sumamente divertida donde las pequeñas no pararon ni un segundo de resolver retos. Destaca por una escenografía vibrante y una decoración preciosa, con olores característicos que te transportan a un mercado exótico. Los puzzles son muy táctiles e ingeniosos, huyendo de los clásicos candados para centrarse en mecanismos 'mágicos' que fluyen con naturalidad. Con una historia sólida y un sorprendente giro de argumento, es un espectáculo visual cargado de buen rollo donde el asombro y el ingenio son los protagonistas.</t>
  </si>
  <si>
    <t>encryptroom</t>
  </si>
  <si>
    <t>Encrypt</t>
  </si>
  <si>
    <t>Asesino en serie</t>
  </si>
  <si>
    <t>Tensión / Inmersivo</t>
  </si>
  <si>
    <t>https://www.encryptroom.com/</t>
  </si>
  <si>
    <t>Bank of Thaqar</t>
  </si>
  <si>
    <t>MissionLeak</t>
  </si>
  <si>
    <t>Atraco / Acción</t>
  </si>
  <si>
    <t>Acción</t>
  </si>
  <si>
    <t>https://www.missionleak.com/bankofthaqar</t>
  </si>
  <si>
    <t>Referente de la 'vieja escuela' jugado originalmente en 2015. En su momento fue pionero en la temática de atracos, pero con la perspectiva actual de las salas de nueva generación, se siente una experiencia sencilla, lineal y muy basada en candados. Nota importante: Nuestra valoración se basa en la versión de hace años; desconocemos si ha recibido actualizaciones técnicas o de escenografía desde entonces. Comparado con los estándares inmersivos de 2026, palidece en espectacularidad y fluidez narrativa, quedando como una pieza de coleccionista para entender los inicios del sector. Lo hicimos 4 adultos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</si>
</sst>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1">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bottom" wrapText="0"/>
    </xf>
    <xf borderId="0" fillId="0" fontId="7" numFmtId="0" xfId="0" applyAlignment="1" applyFont="1">
      <alignment readingOrder="0"/>
    </xf>
    <xf borderId="0" fillId="0" fontId="8" numFmtId="0" xfId="0" applyAlignment="1" applyFont="1">
      <alignment readingOrder="0"/>
    </xf>
    <xf borderId="0" fillId="0" fontId="8" numFmtId="164" xfId="0" applyAlignment="1" applyFont="1" applyNumberFormat="1">
      <alignment readingOrder="0"/>
    </xf>
    <xf borderId="0" fillId="0" fontId="9" numFmtId="0" xfId="0" applyAlignment="1" applyFont="1">
      <alignment readingOrder="0"/>
    </xf>
    <xf borderId="1" fillId="0" fontId="10" numFmtId="0" xfId="0" applyAlignment="1" applyBorder="1" applyFont="1">
      <alignment horizontal="center" readingOrder="0" shrinkToFit="0" vertical="top" wrapText="0"/>
    </xf>
    <xf borderId="0" fillId="0" fontId="2" numFmtId="164" xfId="0" applyFont="1" applyNumberFormat="1"/>
    <xf borderId="0" fillId="0" fontId="2" numFmtId="0" xfId="0" applyFont="1"/>
    <xf borderId="0" fillId="0" fontId="2" numFmtId="16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drawing" Target="../drawings/drawing1.xm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6" Type="http://schemas.openxmlformats.org/officeDocument/2006/relationships/hyperlink" Target="https://ilusiumroomescape.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jurasico/" TargetMode="External"/><Relationship Id="rId9" Type="http://schemas.openxmlformats.org/officeDocument/2006/relationships/hyperlink" Target="https://www.encryptroom.com/" TargetMode="External"/><Relationship Id="rId5" Type="http://schemas.openxmlformats.org/officeDocument/2006/relationships/hyperlink" Target="https://www.roomwhitechapel.com/" TargetMode="External"/><Relationship Id="rId6" Type="http://schemas.openxmlformats.org/officeDocument/2006/relationships/hyperlink" Target="https://goldenpop.es/juegos/catacumbas/" TargetMode="External"/><Relationship Id="rId7" Type="http://schemas.openxmlformats.org/officeDocument/2006/relationships/hyperlink" Target="https://terrorstories.com/barcelona/exorcista-escape-room"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21.75"/>
    <col customWidth="1" min="3" max="3" width="19.0"/>
    <col customWidth="1" min="4" max="4" width="25.0"/>
    <col customWidth="1" min="8" max="8" width="11.5"/>
    <col customWidth="1" min="9" max="9" width="61.38"/>
    <col customWidth="1" min="10" max="10" width="13.88"/>
    <col customWidth="1" min="11" max="11" width="172.5"/>
    <col customWidth="1" min="12" max="12" width="40.88"/>
  </cols>
  <sheetData>
    <row r="1">
      <c r="A1" s="1" t="s">
        <v>0</v>
      </c>
      <c r="B1" s="1" t="s">
        <v>1</v>
      </c>
      <c r="C1" s="1" t="s">
        <v>2</v>
      </c>
      <c r="D1" s="1" t="s">
        <v>3</v>
      </c>
      <c r="E1" s="1" t="s">
        <v>4</v>
      </c>
      <c r="F1" s="1" t="s">
        <v>5</v>
      </c>
      <c r="G1" s="1" t="s">
        <v>6</v>
      </c>
      <c r="H1" s="1" t="s">
        <v>7</v>
      </c>
      <c r="I1" s="1" t="s">
        <v>8</v>
      </c>
      <c r="J1" s="1" t="s">
        <v>9</v>
      </c>
      <c r="K1" s="1" t="s">
        <v>10</v>
      </c>
      <c r="L1" s="2" t="s">
        <v>11</v>
      </c>
    </row>
    <row r="2">
      <c r="A2" s="1" t="s">
        <v>12</v>
      </c>
      <c r="B2" s="1" t="s">
        <v>13</v>
      </c>
      <c r="C2" s="1" t="s">
        <v>14</v>
      </c>
      <c r="D2" s="1" t="s">
        <v>15</v>
      </c>
      <c r="E2" s="1" t="s">
        <v>16</v>
      </c>
      <c r="F2" s="3">
        <v>80.0</v>
      </c>
      <c r="G2" s="1" t="s">
        <v>17</v>
      </c>
      <c r="H2" s="4">
        <v>46273.0</v>
      </c>
      <c r="I2" s="5" t="s">
        <v>18</v>
      </c>
      <c r="J2" s="1">
        <v>6.0</v>
      </c>
      <c r="K2" s="1" t="s">
        <v>19</v>
      </c>
      <c r="L2" s="2" t="s">
        <v>18</v>
      </c>
    </row>
    <row r="3">
      <c r="A3" s="1" t="s">
        <v>20</v>
      </c>
      <c r="B3" s="1" t="s">
        <v>21</v>
      </c>
      <c r="C3" s="1" t="s">
        <v>22</v>
      </c>
      <c r="D3" s="1" t="s">
        <v>23</v>
      </c>
      <c r="E3" s="1" t="s">
        <v>24</v>
      </c>
      <c r="F3" s="3">
        <v>90.0</v>
      </c>
      <c r="G3" s="1" t="s">
        <v>25</v>
      </c>
      <c r="H3" s="4">
        <v>46090.0</v>
      </c>
      <c r="I3" s="6" t="s">
        <v>26</v>
      </c>
      <c r="J3" s="1">
        <v>6.0</v>
      </c>
      <c r="K3" s="1" t="s">
        <v>27</v>
      </c>
      <c r="L3" s="2" t="s">
        <v>26</v>
      </c>
    </row>
    <row r="4">
      <c r="A4" s="1" t="s">
        <v>28</v>
      </c>
      <c r="B4" s="1" t="s">
        <v>29</v>
      </c>
      <c r="C4" s="1" t="s">
        <v>30</v>
      </c>
      <c r="D4" s="1" t="s">
        <v>31</v>
      </c>
      <c r="E4" s="1" t="s">
        <v>32</v>
      </c>
      <c r="F4" s="3">
        <v>70.0</v>
      </c>
      <c r="G4" s="1" t="s">
        <v>25</v>
      </c>
      <c r="H4" s="4">
        <v>46273.0</v>
      </c>
      <c r="I4" s="6" t="s">
        <v>33</v>
      </c>
      <c r="J4" s="1">
        <v>6.0</v>
      </c>
      <c r="K4" s="1" t="s">
        <v>34</v>
      </c>
      <c r="L4" s="2" t="s">
        <v>33</v>
      </c>
    </row>
    <row r="5">
      <c r="A5" s="1" t="s">
        <v>35</v>
      </c>
      <c r="B5" s="1" t="s">
        <v>36</v>
      </c>
      <c r="C5" s="1" t="s">
        <v>37</v>
      </c>
      <c r="D5" s="1" t="s">
        <v>38</v>
      </c>
      <c r="E5" s="1" t="s">
        <v>39</v>
      </c>
      <c r="F5" s="3">
        <v>70.0</v>
      </c>
      <c r="G5" s="1" t="s">
        <v>17</v>
      </c>
      <c r="H5" s="4">
        <v>46089.0</v>
      </c>
      <c r="I5" s="6" t="s">
        <v>40</v>
      </c>
      <c r="J5" s="1">
        <v>7.0</v>
      </c>
      <c r="K5" s="1" t="s">
        <v>41</v>
      </c>
      <c r="L5" s="2" t="s">
        <v>40</v>
      </c>
    </row>
    <row r="6">
      <c r="A6" s="1" t="s">
        <v>42</v>
      </c>
      <c r="B6" s="1" t="s">
        <v>21</v>
      </c>
      <c r="C6" s="1" t="s">
        <v>30</v>
      </c>
      <c r="D6" s="1" t="s">
        <v>43</v>
      </c>
      <c r="E6" s="1" t="s">
        <v>16</v>
      </c>
      <c r="F6" s="3">
        <v>90.0</v>
      </c>
      <c r="G6" s="1" t="s">
        <v>25</v>
      </c>
      <c r="H6" s="3" t="s">
        <v>44</v>
      </c>
      <c r="I6" s="5" t="s">
        <v>45</v>
      </c>
      <c r="J6" s="1">
        <v>7.0</v>
      </c>
      <c r="K6" s="1" t="s">
        <v>46</v>
      </c>
      <c r="L6" s="2" t="s">
        <v>47</v>
      </c>
    </row>
    <row r="7">
      <c r="A7" s="1" t="s">
        <v>48</v>
      </c>
      <c r="B7" s="1" t="s">
        <v>49</v>
      </c>
      <c r="C7" s="1" t="s">
        <v>30</v>
      </c>
      <c r="D7" s="1" t="s">
        <v>50</v>
      </c>
      <c r="E7" s="1" t="s">
        <v>51</v>
      </c>
      <c r="F7" s="3">
        <v>60.0</v>
      </c>
      <c r="G7" s="1" t="s">
        <v>17</v>
      </c>
      <c r="H7" s="3">
        <v>7.0</v>
      </c>
      <c r="I7" s="6" t="s">
        <v>47</v>
      </c>
      <c r="J7" s="1">
        <v>8.0</v>
      </c>
      <c r="K7" s="1" t="s">
        <v>52</v>
      </c>
    </row>
    <row r="8">
      <c r="A8" s="1" t="s">
        <v>53</v>
      </c>
      <c r="B8" s="1" t="s">
        <v>54</v>
      </c>
      <c r="C8" s="1" t="s">
        <v>55</v>
      </c>
      <c r="D8" s="1" t="s">
        <v>56</v>
      </c>
      <c r="E8" s="1" t="s">
        <v>57</v>
      </c>
      <c r="F8" s="3">
        <v>90.0</v>
      </c>
      <c r="G8" s="1" t="s">
        <v>58</v>
      </c>
      <c r="H8" s="3">
        <v>8.0</v>
      </c>
      <c r="I8" s="6" t="s">
        <v>59</v>
      </c>
      <c r="J8" s="1">
        <v>10.0</v>
      </c>
      <c r="K8" s="1" t="s">
        <v>60</v>
      </c>
    </row>
    <row r="9">
      <c r="A9" s="1" t="s">
        <v>61</v>
      </c>
      <c r="B9" s="1" t="s">
        <v>62</v>
      </c>
      <c r="C9" s="1" t="s">
        <v>30</v>
      </c>
      <c r="D9" s="1" t="s">
        <v>63</v>
      </c>
      <c r="E9" s="1" t="s">
        <v>16</v>
      </c>
      <c r="F9" s="3">
        <v>75.0</v>
      </c>
      <c r="G9" s="1" t="s">
        <v>25</v>
      </c>
      <c r="H9" s="4">
        <v>46242.0</v>
      </c>
      <c r="I9" s="6" t="s">
        <v>64</v>
      </c>
      <c r="J9" s="1">
        <v>7.0</v>
      </c>
      <c r="K9" s="1" t="s">
        <v>65</v>
      </c>
    </row>
    <row r="10">
      <c r="A10" s="1" t="s">
        <v>66</v>
      </c>
      <c r="B10" s="1" t="s">
        <v>67</v>
      </c>
      <c r="C10" s="1" t="s">
        <v>55</v>
      </c>
      <c r="D10" s="1" t="s">
        <v>68</v>
      </c>
      <c r="E10" s="1" t="s">
        <v>69</v>
      </c>
      <c r="F10" s="3">
        <v>90.0</v>
      </c>
      <c r="G10" s="1" t="s">
        <v>58</v>
      </c>
      <c r="H10" s="4">
        <v>46150.0</v>
      </c>
      <c r="I10" s="6" t="s">
        <v>70</v>
      </c>
      <c r="J10" s="1">
        <v>6.0</v>
      </c>
      <c r="K10" s="1" t="s">
        <v>71</v>
      </c>
    </row>
    <row r="11">
      <c r="A11" s="7" t="s">
        <v>72</v>
      </c>
      <c r="B11" s="1" t="s">
        <v>21</v>
      </c>
      <c r="C11" s="1" t="s">
        <v>30</v>
      </c>
      <c r="D11" s="1" t="s">
        <v>73</v>
      </c>
      <c r="E11" s="1" t="s">
        <v>39</v>
      </c>
      <c r="F11" s="3">
        <v>60.0</v>
      </c>
      <c r="G11" s="1" t="s">
        <v>17</v>
      </c>
      <c r="H11" s="4">
        <v>46149.0</v>
      </c>
      <c r="I11" s="6" t="s">
        <v>74</v>
      </c>
      <c r="J11" s="1">
        <v>10.0</v>
      </c>
      <c r="K11" s="1" t="s">
        <v>75</v>
      </c>
    </row>
    <row r="12">
      <c r="A12" s="1" t="s">
        <v>76</v>
      </c>
      <c r="B12" s="1" t="s">
        <v>77</v>
      </c>
      <c r="C12" s="1" t="s">
        <v>30</v>
      </c>
      <c r="D12" s="1" t="s">
        <v>78</v>
      </c>
      <c r="E12" s="1" t="s">
        <v>39</v>
      </c>
      <c r="F12" s="3">
        <v>75.0</v>
      </c>
      <c r="G12" s="1" t="s">
        <v>17</v>
      </c>
      <c r="H12" s="4">
        <v>46061.0</v>
      </c>
      <c r="I12" s="6" t="s">
        <v>79</v>
      </c>
      <c r="J12" s="1">
        <v>12.0</v>
      </c>
      <c r="K12" s="1" t="s">
        <v>80</v>
      </c>
    </row>
    <row r="13">
      <c r="A13" s="1" t="s">
        <v>81</v>
      </c>
      <c r="B13" s="1" t="s">
        <v>82</v>
      </c>
      <c r="C13" s="1" t="s">
        <v>83</v>
      </c>
      <c r="D13" s="1" t="s">
        <v>84</v>
      </c>
      <c r="E13" s="1" t="s">
        <v>85</v>
      </c>
      <c r="F13" s="3">
        <v>80.0</v>
      </c>
      <c r="G13" s="1" t="s">
        <v>25</v>
      </c>
      <c r="H13" s="4">
        <v>46090.0</v>
      </c>
      <c r="I13" s="8" t="s">
        <v>86</v>
      </c>
      <c r="J13" s="1">
        <v>7.0</v>
      </c>
      <c r="K13" s="1" t="s">
        <v>87</v>
      </c>
    </row>
    <row r="14">
      <c r="A14" s="2" t="s">
        <v>88</v>
      </c>
      <c r="B14" s="1" t="s">
        <v>21</v>
      </c>
      <c r="C14" s="1" t="s">
        <v>30</v>
      </c>
      <c r="D14" s="1" t="s">
        <v>89</v>
      </c>
      <c r="E14" s="1" t="s">
        <v>90</v>
      </c>
      <c r="F14" s="3">
        <v>90.0</v>
      </c>
      <c r="G14" s="1" t="s">
        <v>17</v>
      </c>
      <c r="H14" s="3">
        <v>7.0</v>
      </c>
      <c r="I14" s="6" t="s">
        <v>91</v>
      </c>
      <c r="J14" s="2">
        <v>6.0</v>
      </c>
      <c r="K14" s="1" t="s">
        <v>92</v>
      </c>
    </row>
    <row r="15">
      <c r="A15" s="1" t="s">
        <v>93</v>
      </c>
      <c r="B15" s="1" t="s">
        <v>21</v>
      </c>
      <c r="C15" s="1" t="s">
        <v>22</v>
      </c>
      <c r="D15" s="1" t="s">
        <v>94</v>
      </c>
      <c r="E15" s="1" t="s">
        <v>95</v>
      </c>
      <c r="F15" s="3">
        <v>90.0</v>
      </c>
      <c r="G15" s="1" t="s">
        <v>17</v>
      </c>
      <c r="H15" s="4">
        <v>46150.0</v>
      </c>
      <c r="I15" s="6" t="s">
        <v>96</v>
      </c>
      <c r="J15" s="1">
        <v>10.0</v>
      </c>
      <c r="K15" s="1" t="s">
        <v>97</v>
      </c>
    </row>
    <row r="16">
      <c r="A16" s="1" t="s">
        <v>98</v>
      </c>
      <c r="B16" s="1" t="s">
        <v>99</v>
      </c>
      <c r="C16" s="1" t="s">
        <v>30</v>
      </c>
      <c r="D16" s="1" t="s">
        <v>100</v>
      </c>
      <c r="E16" s="1" t="s">
        <v>101</v>
      </c>
      <c r="F16" s="3">
        <v>120.0</v>
      </c>
      <c r="G16" s="1" t="s">
        <v>58</v>
      </c>
      <c r="H16" s="4">
        <v>46150.0</v>
      </c>
      <c r="I16" s="6" t="s">
        <v>102</v>
      </c>
      <c r="J16" s="1">
        <v>8.0</v>
      </c>
      <c r="K16" s="1" t="s">
        <v>103</v>
      </c>
    </row>
    <row r="17">
      <c r="A17" s="9" t="s">
        <v>104</v>
      </c>
      <c r="B17" s="10" t="s">
        <v>105</v>
      </c>
      <c r="C17" s="10" t="s">
        <v>106</v>
      </c>
      <c r="D17" s="10" t="s">
        <v>107</v>
      </c>
      <c r="E17" s="10" t="s">
        <v>108</v>
      </c>
      <c r="F17" s="10">
        <v>120.0</v>
      </c>
      <c r="G17" s="10" t="s">
        <v>25</v>
      </c>
      <c r="H17" s="11">
        <v>46243.0</v>
      </c>
      <c r="I17" s="12" t="s">
        <v>109</v>
      </c>
      <c r="J17" s="2">
        <v>6.0</v>
      </c>
      <c r="K17" s="2" t="s">
        <v>110</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s>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36.13"/>
    <col customWidth="1" min="10" max="10" width="14.25"/>
    <col customWidth="1" min="11" max="11" width="14.13"/>
    <col customWidth="1" min="12" max="15" width="11.75"/>
    <col customWidth="1" min="16" max="16" width="166.0"/>
  </cols>
  <sheetData>
    <row r="1">
      <c r="A1" s="13" t="s">
        <v>0</v>
      </c>
      <c r="B1" s="13" t="s">
        <v>1</v>
      </c>
      <c r="C1" s="13" t="s">
        <v>2</v>
      </c>
      <c r="D1" s="13" t="s">
        <v>3</v>
      </c>
      <c r="E1" s="13" t="s">
        <v>4</v>
      </c>
      <c r="F1" s="13" t="s">
        <v>111</v>
      </c>
      <c r="G1" s="13" t="s">
        <v>6</v>
      </c>
      <c r="H1" s="13" t="s">
        <v>112</v>
      </c>
      <c r="I1" s="13" t="s">
        <v>8</v>
      </c>
      <c r="J1" s="13" t="s">
        <v>113</v>
      </c>
      <c r="K1" s="13" t="s">
        <v>114</v>
      </c>
      <c r="L1" s="13" t="s">
        <v>115</v>
      </c>
      <c r="M1" s="13" t="s">
        <v>116</v>
      </c>
      <c r="N1" s="13" t="s">
        <v>117</v>
      </c>
      <c r="O1" s="13" t="s">
        <v>118</v>
      </c>
      <c r="P1" s="13" t="s">
        <v>10</v>
      </c>
    </row>
    <row r="2">
      <c r="A2" s="1" t="s">
        <v>119</v>
      </c>
      <c r="B2" s="1" t="s">
        <v>120</v>
      </c>
      <c r="C2" s="1" t="s">
        <v>30</v>
      </c>
      <c r="D2" s="1" t="s">
        <v>121</v>
      </c>
      <c r="E2" s="1" t="s">
        <v>39</v>
      </c>
      <c r="F2" s="3">
        <v>70.0</v>
      </c>
      <c r="G2" s="1" t="s">
        <v>17</v>
      </c>
      <c r="H2" s="3">
        <v>9.0</v>
      </c>
      <c r="I2" s="6" t="s">
        <v>122</v>
      </c>
      <c r="J2" s="14">
        <f t="shared" ref="J2:J3" si="1">AVERAGE(L2:O2)</f>
        <v>11544.75</v>
      </c>
      <c r="K2" s="15">
        <f t="shared" ref="K2:K11" si="2">RANK(J2, $J$2:$J$22)</f>
        <v>1</v>
      </c>
      <c r="L2" s="16">
        <v>46151.0</v>
      </c>
      <c r="M2" s="2">
        <v>10.0</v>
      </c>
      <c r="N2" s="2">
        <v>9.0</v>
      </c>
      <c r="O2" s="2">
        <v>9.0</v>
      </c>
      <c r="P2" s="2" t="s">
        <v>123</v>
      </c>
    </row>
    <row r="3">
      <c r="A3" s="1" t="s">
        <v>124</v>
      </c>
      <c r="B3" s="1" t="s">
        <v>125</v>
      </c>
      <c r="C3" s="1" t="s">
        <v>30</v>
      </c>
      <c r="D3" s="1" t="s">
        <v>126</v>
      </c>
      <c r="E3" s="1" t="s">
        <v>39</v>
      </c>
      <c r="F3" s="3">
        <v>60.0</v>
      </c>
      <c r="G3" s="1" t="s">
        <v>17</v>
      </c>
      <c r="H3" s="4">
        <v>46150.0</v>
      </c>
      <c r="I3" s="6" t="s">
        <v>127</v>
      </c>
      <c r="J3" s="15">
        <f t="shared" si="1"/>
        <v>8.5</v>
      </c>
      <c r="K3" s="15">
        <f t="shared" si="2"/>
        <v>4</v>
      </c>
      <c r="L3" s="2">
        <v>9.0</v>
      </c>
      <c r="M3" s="2">
        <v>9.0</v>
      </c>
      <c r="N3" s="2">
        <v>9.0</v>
      </c>
      <c r="O3" s="2">
        <v>7.0</v>
      </c>
      <c r="P3" s="2" t="s">
        <v>128</v>
      </c>
    </row>
    <row r="4">
      <c r="A4" s="1" t="s">
        <v>129</v>
      </c>
      <c r="B4" s="1" t="s">
        <v>21</v>
      </c>
      <c r="C4" s="1" t="s">
        <v>30</v>
      </c>
      <c r="D4" s="1" t="s">
        <v>31</v>
      </c>
      <c r="E4" s="1" t="s">
        <v>57</v>
      </c>
      <c r="F4" s="3">
        <v>75.0</v>
      </c>
      <c r="G4" s="1" t="s">
        <v>25</v>
      </c>
      <c r="H4" s="3">
        <v>9.0</v>
      </c>
      <c r="I4" s="6" t="s">
        <v>130</v>
      </c>
      <c r="J4" s="1">
        <v>0.0</v>
      </c>
      <c r="K4" s="15">
        <f t="shared" si="2"/>
        <v>10</v>
      </c>
    </row>
    <row r="5">
      <c r="A5" s="1" t="s">
        <v>131</v>
      </c>
      <c r="B5" s="1" t="s">
        <v>132</v>
      </c>
      <c r="C5" s="1" t="s">
        <v>30</v>
      </c>
      <c r="D5" s="1" t="s">
        <v>133</v>
      </c>
      <c r="E5" s="1" t="s">
        <v>134</v>
      </c>
      <c r="F5" s="3">
        <v>60.0</v>
      </c>
      <c r="G5" s="1" t="s">
        <v>17</v>
      </c>
      <c r="H5" s="3">
        <v>8.0</v>
      </c>
      <c r="I5" s="6" t="s">
        <v>135</v>
      </c>
      <c r="J5" s="15">
        <f t="shared" ref="J5:J11" si="3">AVERAGE(L5:O5)</f>
        <v>9.25</v>
      </c>
      <c r="K5" s="15">
        <f t="shared" si="2"/>
        <v>2</v>
      </c>
      <c r="L5" s="2">
        <v>9.0</v>
      </c>
      <c r="M5" s="2">
        <v>10.0</v>
      </c>
      <c r="N5" s="2">
        <v>8.0</v>
      </c>
      <c r="O5" s="2">
        <v>10.0</v>
      </c>
      <c r="P5" s="2" t="s">
        <v>136</v>
      </c>
    </row>
    <row r="6">
      <c r="A6" s="1" t="s">
        <v>137</v>
      </c>
      <c r="B6" s="1" t="s">
        <v>138</v>
      </c>
      <c r="C6" s="1" t="s">
        <v>30</v>
      </c>
      <c r="D6" s="1" t="s">
        <v>139</v>
      </c>
      <c r="E6" s="1" t="s">
        <v>140</v>
      </c>
      <c r="F6" s="3">
        <v>90.0</v>
      </c>
      <c r="G6" s="1" t="s">
        <v>17</v>
      </c>
      <c r="H6" s="3">
        <v>9.0</v>
      </c>
      <c r="I6" s="8" t="s">
        <v>141</v>
      </c>
      <c r="J6" s="15">
        <f t="shared" si="3"/>
        <v>8.75</v>
      </c>
      <c r="K6" s="15">
        <f t="shared" si="2"/>
        <v>3</v>
      </c>
      <c r="L6" s="2">
        <v>9.0</v>
      </c>
      <c r="M6" s="2">
        <v>8.0</v>
      </c>
      <c r="N6" s="2">
        <v>9.0</v>
      </c>
      <c r="O6" s="2">
        <v>9.0</v>
      </c>
      <c r="P6" s="2" t="s">
        <v>142</v>
      </c>
    </row>
    <row r="7">
      <c r="A7" s="1" t="s">
        <v>143</v>
      </c>
      <c r="B7" s="1" t="s">
        <v>132</v>
      </c>
      <c r="C7" s="1" t="s">
        <v>30</v>
      </c>
      <c r="D7" s="1" t="s">
        <v>144</v>
      </c>
      <c r="E7" s="1" t="s">
        <v>39</v>
      </c>
      <c r="F7" s="3">
        <v>90.0</v>
      </c>
      <c r="G7" s="1" t="s">
        <v>17</v>
      </c>
      <c r="H7" s="4">
        <v>46149.0</v>
      </c>
      <c r="I7" s="8" t="s">
        <v>145</v>
      </c>
      <c r="J7" s="15">
        <f t="shared" si="3"/>
        <v>8.25</v>
      </c>
      <c r="K7" s="15">
        <f t="shared" si="2"/>
        <v>6</v>
      </c>
      <c r="L7" s="2">
        <v>8.0</v>
      </c>
      <c r="M7" s="2">
        <v>9.0</v>
      </c>
      <c r="N7" s="2">
        <v>8.0</v>
      </c>
      <c r="O7" s="2">
        <v>8.0</v>
      </c>
      <c r="P7" s="2" t="s">
        <v>146</v>
      </c>
    </row>
    <row r="8">
      <c r="A8" s="1" t="s">
        <v>147</v>
      </c>
      <c r="B8" s="1" t="s">
        <v>148</v>
      </c>
      <c r="C8" s="1" t="s">
        <v>30</v>
      </c>
      <c r="D8" s="1" t="s">
        <v>149</v>
      </c>
      <c r="E8" s="1" t="s">
        <v>150</v>
      </c>
      <c r="F8" s="3">
        <v>90.0</v>
      </c>
      <c r="G8" s="1" t="s">
        <v>17</v>
      </c>
      <c r="H8" s="4">
        <v>46150.0</v>
      </c>
      <c r="I8" s="8" t="s">
        <v>151</v>
      </c>
      <c r="J8" s="15">
        <f t="shared" si="3"/>
        <v>8</v>
      </c>
      <c r="K8" s="15">
        <f t="shared" si="2"/>
        <v>7</v>
      </c>
      <c r="L8" s="2">
        <v>8.0</v>
      </c>
      <c r="M8" s="2">
        <v>8.0</v>
      </c>
      <c r="N8" s="2">
        <v>7.0</v>
      </c>
      <c r="O8" s="2">
        <v>9.0</v>
      </c>
      <c r="P8" s="2" t="s">
        <v>152</v>
      </c>
    </row>
    <row r="9">
      <c r="A9" s="1" t="s">
        <v>153</v>
      </c>
      <c r="B9" s="1" t="s">
        <v>154</v>
      </c>
      <c r="C9" s="1" t="s">
        <v>155</v>
      </c>
      <c r="D9" s="1" t="s">
        <v>156</v>
      </c>
      <c r="E9" s="1" t="s">
        <v>39</v>
      </c>
      <c r="F9" s="3">
        <v>80.0</v>
      </c>
      <c r="G9" s="1" t="s">
        <v>17</v>
      </c>
      <c r="H9" s="4">
        <v>46149.0</v>
      </c>
      <c r="I9" s="8" t="s">
        <v>157</v>
      </c>
      <c r="J9" s="15">
        <f t="shared" si="3"/>
        <v>8.5</v>
      </c>
      <c r="K9" s="15">
        <f t="shared" si="2"/>
        <v>4</v>
      </c>
      <c r="L9" s="2">
        <v>8.0</v>
      </c>
      <c r="M9" s="2">
        <v>9.0</v>
      </c>
      <c r="N9" s="2">
        <v>9.0</v>
      </c>
      <c r="O9" s="2">
        <v>8.0</v>
      </c>
      <c r="P9" s="2" t="s">
        <v>158</v>
      </c>
    </row>
    <row r="10">
      <c r="A10" s="1" t="s">
        <v>159</v>
      </c>
      <c r="B10" s="1" t="s">
        <v>160</v>
      </c>
      <c r="C10" s="1" t="s">
        <v>30</v>
      </c>
      <c r="D10" s="1" t="s">
        <v>161</v>
      </c>
      <c r="E10" s="1" t="s">
        <v>162</v>
      </c>
      <c r="F10" s="3">
        <v>70.0</v>
      </c>
      <c r="G10" s="1" t="s">
        <v>25</v>
      </c>
      <c r="H10" s="4">
        <v>46149.0</v>
      </c>
      <c r="I10" s="8" t="s">
        <v>163</v>
      </c>
      <c r="J10" s="15">
        <f t="shared" si="3"/>
        <v>7.5</v>
      </c>
      <c r="K10" s="15">
        <f t="shared" si="2"/>
        <v>8</v>
      </c>
      <c r="L10" s="2">
        <v>7.0</v>
      </c>
      <c r="M10" s="2">
        <v>8.0</v>
      </c>
      <c r="N10" s="2">
        <v>7.0</v>
      </c>
      <c r="O10" s="2">
        <v>8.0</v>
      </c>
    </row>
    <row r="11">
      <c r="A11" s="1" t="s">
        <v>164</v>
      </c>
      <c r="B11" s="1" t="s">
        <v>165</v>
      </c>
      <c r="C11" s="1" t="s">
        <v>30</v>
      </c>
      <c r="D11" s="1" t="s">
        <v>166</v>
      </c>
      <c r="E11" s="1" t="s">
        <v>167</v>
      </c>
      <c r="F11" s="3">
        <v>60.0</v>
      </c>
      <c r="G11" s="1" t="s">
        <v>17</v>
      </c>
      <c r="H11" s="4">
        <v>46148.0</v>
      </c>
      <c r="I11" s="8" t="s">
        <v>168</v>
      </c>
      <c r="J11" s="15">
        <f t="shared" si="3"/>
        <v>6.75</v>
      </c>
      <c r="K11" s="15">
        <f t="shared" si="2"/>
        <v>9</v>
      </c>
      <c r="L11" s="2">
        <v>7.0</v>
      </c>
      <c r="M11" s="2">
        <v>7.0</v>
      </c>
      <c r="N11" s="2">
        <v>7.0</v>
      </c>
      <c r="O11" s="2">
        <v>6.0</v>
      </c>
      <c r="P11" s="2" t="s">
        <v>169</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